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E2E7" lockStructure="1"/>
  <bookViews>
    <workbookView xWindow="240" yWindow="240" windowWidth="20115" windowHeight="7815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Default CO2 Meter" sheetId="12" r:id="rId5"/>
    <sheet name="CO2 Raw Data" sheetId="14" r:id="rId6"/>
    <sheet name="Default VOC Meter" sheetId="13" r:id="rId7"/>
    <sheet name="TVOC Raw Data" sheetId="15" r:id="rId8"/>
    <sheet name="Waste Stream" sheetId="11" r:id="rId9"/>
    <sheet name="base_summary" sheetId="3" state="hidden" r:id="rId10"/>
  </sheets>
  <definedNames>
    <definedName name="_xlnm._FilterDatabase" localSheetId="5" hidden="1">'CO2 Raw Data'!$B$2:$F$4</definedName>
    <definedName name="_xlnm._FilterDatabase" localSheetId="7" hidden="1">'TVOC Raw Data'!$B$2:$G$4</definedName>
    <definedName name="columnDelete">'CO2 Raw Data'!$6:$6</definedName>
    <definedName name="columnDeleteVOC">'TVOC Raw Data'!$6:$6</definedName>
    <definedName name="Countries">Setup!$L$23:$M$266</definedName>
    <definedName name="CountriesDetails">Setup!$L$23:$L$266</definedName>
    <definedName name="countryName">Setup!$L$22:$L$266</definedName>
    <definedName name="DataCopy">'CO2 Raw Data'!$A$18:$E$18</definedName>
    <definedName name="DataCopyVOC">'TVOC Raw Data'!$A$18:$E$18</definedName>
    <definedName name="Dates">'CO2 Raw Data'!$14:$14</definedName>
    <definedName name="DatesVOC">'TVOC Raw Data'!$14:$14</definedName>
    <definedName name="DelRwNmEnd">'Default CO2 Meter'!$A$10:$E$10</definedName>
    <definedName name="DelRwNmEndVOC">'Default VOC Meter'!$A$10:$E$10</definedName>
    <definedName name="DelRwNmStart">'Default CO2 Meter'!$A$6:$E$6</definedName>
    <definedName name="DelRwNmStartVOC">'Default VOC Meter'!$A$6:$E$6</definedName>
    <definedName name="elecName">base_e!$G$15:$G$19</definedName>
    <definedName name="ElectricityDrp">base_e!$J$8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>base_f!#REF!</definedName>
    <definedName name="kerosene">base_f!$K$16:$K$23</definedName>
    <definedName name="liquid">base_f!$J$16:$J$25</definedName>
    <definedName name="Meter">Setup!$M$19:$M$20</definedName>
    <definedName name="meterName">Setup!$O$23:$O$28</definedName>
    <definedName name="MeterTypes">#REF!</definedName>
    <definedName name="myCategoryH">base_f!$G$19:$G$36</definedName>
    <definedName name="myitem">OFFSET(myItemList,0,0,COUNTA(myItemList),1)</definedName>
    <definedName name="myItemListH">INDEX(myTableH,MATCH(base_f!A1048576,myCategoryH,0),0)</definedName>
    <definedName name="myTableH">base_f!$H$19:$S$36</definedName>
    <definedName name="newMet">Setup!$Q$23:$Q$25</definedName>
    <definedName name="newWaUnit">'Waste Stream'!$I$12:$I$14</definedName>
    <definedName name="Other_Fuels_Drp">base_f!$V$10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'Default CO2 Meter'!$B$6:$B$10</definedName>
    <definedName name="RangeCountVOC">'Default VOC Meter'!$B$6:$B$10</definedName>
    <definedName name="ReadingTable">'CO2 Raw Data'!$14:$15</definedName>
    <definedName name="ReadingTableVOC">'TVOC Raw Data'!$14:$15</definedName>
    <definedName name="sumAnchor">'CO2 Raw Data'!$F$6:$F$15</definedName>
    <definedName name="sumAnchorVOC">'TVOC Raw Data'!$G$6:$G$15</definedName>
    <definedName name="sumDate">'CO2 Raw Data'!$G$6:$G$15</definedName>
    <definedName name="sumDateVOC">'TVOC Raw Data'!$H$6:$H$15</definedName>
    <definedName name="UniqueDate">'CO2 Raw Data'!$B$21</definedName>
    <definedName name="UniqueDateVOC">'TVOC Raw Data'!$B$21</definedName>
    <definedName name="UniqueLoc">'CO2 Raw Data'!$C$21</definedName>
    <definedName name="UniqueLocVOC">'TVOC Raw Data'!$C$21</definedName>
    <definedName name="Units">Setup!$M$5:$M$6</definedName>
    <definedName name="UserFormat">'CO2 Raw Data'!$A$24:$E$24</definedName>
    <definedName name="validUnits">#REF!</definedName>
    <definedName name="water_meter_type">base_w!$H$27:$I$39</definedName>
    <definedName name="water_type">base_w!$H$27:$I$39</definedName>
    <definedName name="water_units">base_w!$H$15:$H$23</definedName>
    <definedName name="WaterDrp">base_w!$I$8</definedName>
    <definedName name="waterType">base_w!$H$27:$H$39</definedName>
    <definedName name="waterUnits">base_w!$J$10:$J$14</definedName>
    <definedName name="watUn">base_w!$H$15:$H$23</definedName>
    <definedName name="watUni">base_w!$H$15:$H$26</definedName>
    <definedName name="waUn">'Waste Stream'!$I$12:$I$18</definedName>
    <definedName name="waunit">'Waste Stream'!$J$9:$J$11</definedName>
    <definedName name="Wood">base_f!$H$16:$H$27</definedName>
    <definedName name="woods">base_f!$H$16:$H$22</definedName>
    <definedName name="woodunit">base_f!$H$16:$H$22</definedName>
    <definedName name="zep">base_w!$J$8</definedName>
  </definedNames>
  <calcPr calcId="145621"/>
</workbook>
</file>

<file path=xl/calcChain.xml><?xml version="1.0" encoding="utf-8"?>
<calcChain xmlns="http://schemas.openxmlformats.org/spreadsheetml/2006/main">
  <c r="D6" i="13" l="1"/>
  <c r="D6" i="12"/>
  <c r="E18" i="15" l="1"/>
  <c r="B10" i="15" l="1" a="1"/>
  <c r="B10" i="15" s="1"/>
  <c r="H8" i="15" a="1"/>
  <c r="H8" i="15" s="1"/>
  <c r="G8" i="14" a="1"/>
  <c r="G8" i="14" s="1"/>
  <c r="B10" i="14" a="1"/>
  <c r="B10" i="14" s="1"/>
  <c r="C21" i="15" a="1"/>
  <c r="C21" i="15" s="1"/>
  <c r="B21" i="15" a="1"/>
  <c r="B21" i="15" s="1"/>
  <c r="C21" i="14" a="1"/>
  <c r="C21" i="14" s="1"/>
  <c r="B21" i="14" a="1"/>
  <c r="B21" i="14" s="1"/>
  <c r="B11" i="15" l="1" a="1"/>
  <c r="B11" i="15" s="1"/>
  <c r="B11" i="14" a="1"/>
  <c r="B11" i="14" s="1"/>
  <c r="G10" i="14" a="1"/>
  <c r="G10" i="14" s="1"/>
  <c r="H10" i="15" a="1"/>
  <c r="H10" i="15" s="1"/>
  <c r="A11" i="15" l="1"/>
  <c r="H11" i="15" a="1"/>
  <c r="H11" i="15" s="1"/>
  <c r="A11" i="14"/>
  <c r="G11" i="14" a="1"/>
  <c r="G11" i="14" s="1"/>
  <c r="H15" i="15" l="1"/>
  <c r="E18" i="14"/>
  <c r="H6" i="15" l="1"/>
  <c r="H14" i="15"/>
  <c r="A10" i="15"/>
  <c r="B18" i="15" l="1"/>
  <c r="C18" i="15" s="1"/>
  <c r="G6" i="14" l="1"/>
  <c r="A10" i="14" l="1"/>
  <c r="B1" i="6" l="1"/>
  <c r="D2" i="6" s="1"/>
  <c r="B1" i="8"/>
  <c r="D2" i="8" s="1"/>
  <c r="B1" i="4"/>
  <c r="D2" i="4" s="1"/>
  <c r="D6" i="8" l="1"/>
  <c r="D6" i="6"/>
  <c r="D6" i="4"/>
  <c r="E6" i="11"/>
  <c r="D6" i="11" l="1"/>
  <c r="G14" i="14"/>
  <c r="B18" i="14" l="1"/>
  <c r="C18" i="14" l="1"/>
  <c r="D18" i="15" l="1" a="1"/>
  <c r="D18" i="15" s="1"/>
  <c r="A18" i="15" s="1"/>
  <c r="G15" i="14" l="1"/>
  <c r="D18" i="14" l="1"/>
  <c r="A18" i="14" s="1"/>
</calcChain>
</file>

<file path=xl/sharedStrings.xml><?xml version="1.0" encoding="utf-8"?>
<sst xmlns="http://schemas.openxmlformats.org/spreadsheetml/2006/main" count="885" uniqueCount="617">
  <si>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</si>
  <si>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</si>
  <si>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</si>
  <si>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</si>
  <si>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</si>
  <si>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</si>
  <si>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</si>
  <si>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</si>
  <si>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</si>
  <si>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</si>
  <si>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</si>
  <si>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</si>
  <si>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</si>
  <si>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</si>
  <si>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</si>
  <si>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</si>
  <si>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</si>
  <si>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</si>
  <si>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</si>
  <si>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</si>
  <si>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</si>
  <si>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</si>
  <si>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</si>
  <si>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</si>
  <si>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</si>
  <si>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</si>
  <si>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</si>
  <si>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</si>
  <si>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</si>
  <si>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</si>
  <si>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</si>
  <si>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</si>
  <si>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</si>
  <si>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</si>
  <si>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</si>
  <si>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</si>
  <si>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</si>
  <si>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</si>
  <si>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</si>
  <si>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</si>
  <si>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</si>
  <si>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</si>
  <si>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</si>
  <si>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</si>
  <si>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</si>
  <si>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</si>
  <si>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</si>
  <si>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</si>
  <si>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</si>
  <si>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</si>
  <si>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</si>
  <si>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</si>
  <si>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</si>
  <si>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</si>
  <si>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</si>
  <si>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</si>
  <si>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</si>
  <si>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</si>
  <si>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</si>
  <si>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</si>
  <si>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</si>
  <si>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</si>
  <si>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</si>
  <si>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</si>
  <si>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</si>
  <si>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</si>
  <si>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</si>
  <si>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</si>
  <si>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</si>
  <si>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</si>
  <si>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</si>
  <si>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</si>
  <si>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</si>
  <si>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</si>
  <si>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</si>
  <si>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</si>
  <si>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</si>
  <si>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</si>
  <si>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</si>
  <si>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</si>
  <si>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</si>
  <si>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</si>
  <si>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</si>
  <si>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</si>
  <si>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</si>
  <si>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</si>
  <si>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</si>
  <si>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</si>
  <si>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</si>
  <si>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</si>
  <si>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</si>
  <si>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</si>
  <si>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</si>
  <si>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</si>
  <si>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</si>
  <si>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</si>
  <si>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</si>
  <si>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</si>
  <si>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</si>
  <si>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</si>
  <si>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</si>
  <si>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</si>
  <si>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</si>
  <si>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</si>
  <si>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</si>
  <si>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</si>
  <si>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</si>
  <si>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</si>
  <si>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</si>
  <si>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</si>
  <si>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</si>
  <si>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</si>
  <si>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</si>
  <si>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</si>
  <si>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</si>
  <si>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</si>
  <si>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</si>
  <si>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</si>
  <si>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</si>
  <si>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</si>
  <si>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</si>
  <si>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</si>
  <si>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</si>
  <si>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</si>
  <si>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</si>
  <si>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</si>
  <si>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</si>
  <si>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</si>
  <si>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</si>
  <si>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</si>
  <si>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</si>
  <si>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</si>
  <si>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</si>
  <si>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</si>
  <si>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</si>
  <si>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</si>
  <si>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</si>
  <si>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</si>
  <si>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</si>
  <si>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</si>
  <si>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</si>
  <si>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</si>
  <si>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</si>
  <si>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</si>
  <si>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</si>
  <si>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</si>
  <si>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</si>
  <si>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</si>
  <si>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</si>
  <si>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</si>
  <si>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</si>
  <si>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</si>
  <si>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</si>
  <si>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</si>
  <si>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</si>
  <si>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</si>
  <si>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</si>
  <si>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</si>
  <si>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</si>
  <si>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</si>
  <si>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</si>
  <si>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</si>
  <si>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</si>
  <si>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</si>
  <si>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</si>
  <si>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</si>
  <si>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</si>
  <si>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</si>
  <si>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</si>
  <si>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</si>
  <si>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</si>
  <si>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</si>
  <si>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</si>
  <si>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</si>
  <si>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</si>
  <si>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</si>
  <si>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</si>
  <si>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</si>
  <si>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</si>
  <si>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</si>
  <si>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</si>
  <si>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</si>
  <si>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</si>
  <si>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</si>
  <si>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</si>
  <si>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</si>
  <si>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</si>
  <si>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</si>
  <si>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</si>
  <si>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</si>
  <si>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</si>
  <si>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</si>
  <si>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</si>
  <si>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</si>
  <si>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</si>
  <si>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</si>
  <si>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</si>
  <si>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</si>
  <si>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</si>
  <si>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</si>
  <si>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</si>
  <si>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</si>
  <si>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</si>
  <si>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</si>
  <si>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</si>
  <si>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</si>
  <si>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</si>
  <si>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</si>
  <si>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</si>
  <si>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</si>
  <si>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</si>
  <si>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</si>
  <si>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</si>
  <si>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</si>
  <si>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</si>
  <si>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</si>
  <si>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</si>
  <si>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</si>
  <si>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</si>
  <si>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</si>
  <si>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</si>
  <si>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</si>
  <si>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</si>
  <si>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</si>
  <si>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</si>
  <si>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</si>
  <si>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</si>
  <si>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</si>
  <si>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</si>
  <si>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</si>
  <si>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</si>
  <si>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</si>
  <si>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</si>
  <si>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</si>
  <si>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</si>
  <si>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</si>
  <si>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</si>
  <si>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</si>
  <si>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</si>
  <si>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</si>
  <si>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</si>
  <si>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</si>
  <si>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</si>
  <si>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</si>
  <si>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</si>
  <si>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</si>
  <si>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</si>
  <si>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</si>
  <si>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</si>
  <si>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</si>
  <si>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</si>
  <si>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</si>
  <si>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</si>
  <si>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</si>
  <si>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</si>
  <si>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</si>
  <si>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</si>
  <si>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</si>
  <si>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</si>
  <si>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</si>
  <si>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</si>
  <si>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</si>
  <si>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</si>
  <si>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</si>
  <si>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</si>
  <si>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</si>
  <si>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</si>
  <si>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</si>
  <si>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</si>
  <si>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</si>
  <si>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</si>
  <si>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</si>
  <si>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</si>
  <si>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</si>
  <si>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</si>
  <si>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</si>
  <si>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</si>
  <si>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</si>
  <si>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</si>
  <si>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</si>
  <si>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</si>
  <si>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</si>
  <si>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</si>
  <si>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</si>
  <si>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</si>
  <si>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</si>
  <si>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</si>
  <si>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</si>
  <si>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</si>
  <si>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</si>
  <si>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</si>
  <si>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</si>
  <si>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</si>
  <si>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</si>
  <si>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</si>
  <si>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</si>
  <si>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</si>
  <si>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</si>
  <si>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</si>
  <si>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</si>
  <si>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</si>
  <si>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</si>
  <si>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</si>
  <si>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</si>
  <si>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</si>
  <si>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</si>
  <si>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</si>
  <si>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</si>
  <si>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</si>
  <si>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</si>
  <si>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</si>
  <si>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</si>
  <si>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</si>
  <si>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</si>
  <si>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</si>
  <si>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</si>
  <si>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</si>
  <si>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</si>
  <si>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</si>
  <si>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</si>
  <si>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</si>
  <si>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</si>
  <si>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</si>
  <si>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</si>
  <si>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</si>
  <si>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</si>
  <si>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</si>
  <si>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</si>
  <si>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</si>
  <si>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</si>
  <si>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</si>
  <si>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</si>
  <si>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</si>
  <si>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</si>
  <si>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</si>
  <si>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</si>
  <si>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</si>
  <si>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</si>
  <si>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</si>
  <si>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</si>
  <si>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</si>
  <si>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</si>
  <si>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</si>
  <si>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</si>
  <si>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</si>
  <si>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</si>
  <si>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</si>
  <si>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</si>
  <si>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</si>
  <si>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</si>
  <si>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</si>
  <si>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</si>
  <si>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</si>
  <si>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</si>
  <si>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</si>
  <si>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</si>
  <si>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</si>
  <si>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</si>
  <si>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</si>
  <si>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</si>
  <si>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</si>
  <si>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</si>
  <si>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</si>
  <si>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</si>
  <si>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</si>
  <si>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</si>
  <si>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</si>
  <si>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</si>
  <si>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</si>
  <si>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</si>
  <si>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</si>
  <si>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</si>
  <si>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</si>
  <si>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</si>
  <si>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</si>
  <si>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</si>
  <si>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</si>
  <si>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</si>
  <si>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</si>
  <si>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</si>
  <si>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</si>
  <si>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</si>
  <si>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</si>
  <si>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</si>
  <si>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</si>
  <si>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</si>
  <si>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</si>
  <si>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</si>
  <si>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</si>
  <si>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</si>
  <si>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</si>
  <si>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</si>
  <si>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</si>
  <si>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</si>
  <si>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</si>
  <si>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</si>
  <si>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</si>
  <si>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</si>
  <si>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</si>
  <si>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</si>
  <si>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</si>
  <si>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</si>
  <si>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</si>
  <si>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</si>
  <si>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</si>
  <si>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</si>
  <si>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</si>
  <si>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</si>
  <si>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</si>
  <si>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</si>
  <si>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</si>
  <si>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</si>
  <si>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</si>
  <si>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</si>
  <si>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</si>
  <si>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</si>
  <si>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</si>
  <si>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</si>
  <si>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</si>
  <si>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</si>
  <si>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</si>
  <si>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</si>
  <si>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</si>
  <si>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</si>
  <si>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</si>
  <si>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</si>
  <si>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</si>
  <si>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</si>
  <si>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</si>
  <si>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</si>
  <si>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</si>
  <si>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</si>
  <si>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</si>
  <si>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</si>
  <si>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</si>
  <si>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</si>
  <si>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</si>
  <si>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</si>
  <si>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</si>
  <si>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</si>
  <si>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</si>
  <si>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</si>
  <si>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</si>
  <si>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</si>
  <si>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</si>
  <si>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</si>
  <si>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</si>
  <si>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</si>
  <si>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</si>
  <si>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</si>
  <si>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</si>
  <si>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</si>
  <si>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</si>
  <si>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</si>
  <si>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</si>
  <si>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</si>
  <si>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</si>
  <si>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</si>
  <si>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</si>
  <si>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</si>
  <si>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</si>
  <si>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</si>
  <si>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</si>
  <si>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</si>
  <si>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</si>
  <si>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</si>
  <si>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</si>
  <si>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</si>
  <si>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</si>
  <si>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</si>
  <si>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</si>
  <si>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</si>
  <si>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</si>
  <si>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</si>
  <si>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</si>
  <si>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</si>
  <si>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</si>
  <si>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</si>
  <si>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</si>
  <si>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</si>
  <si>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</si>
  <si>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</si>
  <si>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</si>
  <si>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</si>
  <si>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</si>
  <si>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</si>
  <si>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</si>
  <si>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</si>
  <si>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</si>
  <si>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</si>
  <si>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</si>
  <si>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</si>
  <si>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</si>
  <si>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</si>
  <si>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</si>
  <si>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Gross floor area (sq ft)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</si>
  <si>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</si>
  <si>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</si>
  <si>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</si>
  <si>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</si>
  <si>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</si>
  <si>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</si>
  <si>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</si>
  <si>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</si>
  <si>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</si>
  <si>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</si>
  <si>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</si>
  <si>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</si>
  <si>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</si>
  <si>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</si>
  <si>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</si>
  <si>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</si>
  <si>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</si>
  <si>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</si>
  <si>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</si>
  <si>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</si>
  <si>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</si>
  <si>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</si>
  <si>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</si>
  <si>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</si>
  <si>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</si>
  <si>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</si>
  <si>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</si>
  <si>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</si>
  <si>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</si>
  <si>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</si>
  <si>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</si>
  <si>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</si>
  <si>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</si>
  <si>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</si>
  <si>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</si>
  <si>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</si>
  <si>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</si>
  <si>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</si>
  <si>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</si>
  <si>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</si>
  <si>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</si>
  <si>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</si>
  <si>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</si>
  <si>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</si>
  <si>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</si>
  <si>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</si>
  <si>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</si>
  <si>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</si>
  <si>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</si>
  <si>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</si>
  <si>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</si>
  <si>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</si>
  <si>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</si>
  <si>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</si>
  <si>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</si>
  <si>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</si>
  <si>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</si>
  <si>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</si>
  <si>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</si>
  <si>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</si>
  <si>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</si>
  <si>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</si>
  <si>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</si>
  <si>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</si>
  <si>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</si>
  <si>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</si>
  <si>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</si>
  <si>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</si>
  <si>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</si>
  <si>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</si>
  <si>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r>
      <rPr>
        <b/>
        <sz val="10"/>
        <rFont val="Arial"/>
        <family val="2"/>
      </rPr>
      <t>Step 2.</t>
    </r>
    <r>
      <rPr>
        <sz val="10"/>
        <rFont val="Arial"/>
        <family val="2"/>
      </rPr>
      <t xml:space="preserve"> </t>
    </r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</si>
  <si>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</si>
  <si>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</si>
  <si>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</si>
  <si>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</si>
  <si>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</si>
  <si>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</si>
  <si>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</si>
  <si>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</si>
  <si>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</si>
  <si>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Copyright © 2012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</si>
  <si>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</si>
  <si>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</si>
  <si>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</si>
  <si>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Step 4.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</si>
  <si>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</si>
  <si>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</si>
  <si>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</si>
  <si>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</si>
  <si>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</si>
  <si>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</si>
  <si>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</si>
  <si>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</si>
  <si>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</si>
  <si>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</si>
  <si>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</si>
  <si>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</si>
  <si>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</si>
  <si>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</si>
  <si>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CO2 Raw Data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</si>
  <si>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</si>
  <si>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</si>
  <si>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</si>
  <si>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</si>
  <si>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</si>
  <si>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</si>
  <si>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</si>
  <si>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</si>
  <si>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</si>
  <si>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</si>
  <si>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</si>
  <si>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</si>
  <si>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</si>
  <si>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Raw Data</t>
  </si>
  <si>
    <t>TVOC Reading
(µg/m3 )</t>
  </si>
  <si>
    <r>
      <rPr>
        <b/>
        <sz val="16"/>
        <rFont val="Arial Black"/>
        <family val="2"/>
      </rPr>
      <t>LEED Dynamic Plaque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LEED Dynamic Plaque excel upload template</t>
    </r>
  </si>
  <si>
    <t>v02</t>
  </si>
  <si>
    <t>$</t>
  </si>
  <si>
    <t>ug/m3</t>
  </si>
  <si>
    <t>Default CO2 Meter</t>
  </si>
  <si>
    <t>Default VOC 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</si>
</sst>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,##0.00_ ;\-#,##0.00\ "/>
    <numFmt numFmtId="165" formatCode="mm/dd/yyyy"/>
    <numFmt numFmtId="166" formatCode="#0.00"/>
    <numFmt numFmtId="167" formatCode="[$-F400]h:mm:ss\ AM/PM"/>
    <numFmt numFmtId="168" formatCode="0.0"/>
    <numFmt numFmtId="169" formatCode="0.00_ ;\-0.00\ "/>
    <numFmt numFmtId="170" formatCode="0.00;[Red]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</borders>
  <cellStyleXfs count="8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</cellStyleXfs>
  <cellXfs count="204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0" xfId="0" applyFill="1" applyBorder="1"/>
    <xf numFmtId="0" fontId="0" fillId="2" borderId="8" xfId="0" applyFill="1" applyBorder="1"/>
    <xf numFmtId="0" fontId="0" fillId="5" borderId="0" xfId="0" applyFill="1"/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7" xfId="0" applyFont="1" applyFill="1" applyBorder="1" applyAlignment="1" applyProtection="1">
      <alignment horizontal="left" vertical="center" indent="1"/>
    </xf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7" fillId="2" borderId="0" xfId="2" applyNumberFormat="1" applyFont="1" applyFill="1" applyBorder="1" applyAlignment="1" applyProtection="1">
      <alignment vertical="top"/>
    </xf>
    <xf numFmtId="0" fontId="0" fillId="2" borderId="8" xfId="0" applyFill="1" applyBorder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4" fontId="2" fillId="2" borderId="0" xfId="0" applyNumberFormat="1" applyFont="1" applyFill="1" applyBorder="1" applyAlignment="1" applyProtection="1">
      <alignment horizontal="right" vertical="center"/>
    </xf>
    <xf numFmtId="4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/>
      <protection locked="0"/>
    </xf>
    <xf numFmtId="0" fontId="8" fillId="3" borderId="1" xfId="0" applyNumberFormat="1" applyFont="1" applyFill="1" applyBorder="1" applyAlignment="1" applyProtection="1">
      <alignment horizontal="left" vertical="center" wrapText="1" shrinkToFit="1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4" fontId="2" fillId="2" borderId="0" xfId="0" applyNumberFormat="1" applyFont="1" applyFill="1" applyBorder="1" applyAlignment="1" applyProtection="1">
      <alignment horizontal="left" vertical="center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4" fontId="8" fillId="2" borderId="1" xfId="0" applyNumberFormat="1" applyFont="1" applyFill="1" applyBorder="1" applyAlignment="1" applyProtection="1">
      <alignment horizontal="left" vertical="center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7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14" fontId="4" fillId="0" borderId="23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8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9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7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14" fontId="4" fillId="0" borderId="23" xfId="0" applyNumberFormat="1" applyFont="1" applyBorder="1" applyAlignment="1" applyProtection="1">
      <alignment horizontal="center"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8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7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1" fontId="8" fillId="3" borderId="15" xfId="0" applyNumberFormat="1" applyFont="1" applyFill="1" applyBorder="1" applyAlignment="1" applyProtection="1">
      <alignment horizontal="left" vertical="center"/>
      <protection locked="0"/>
    </xf>
    <xf numFmtId="166" fontId="8" fillId="3" borderId="17" xfId="0" applyNumberFormat="1" applyFont="1" applyFill="1" applyBorder="1" applyAlignment="1" applyProtection="1">
      <alignment horizontal="left" vertical="center"/>
      <protection locked="0"/>
    </xf>
    <xf numFmtId="2" fontId="8" fillId="3" borderId="17" xfId="0" applyNumberFormat="1" applyFont="1" applyFill="1" applyBorder="1" applyAlignment="1" applyProtection="1">
      <alignment horizontal="left" vertical="center"/>
      <protection locked="0"/>
    </xf>
    <xf numFmtId="1" fontId="8" fillId="3" borderId="40" xfId="0" applyNumberFormat="1" applyFont="1" applyFill="1" applyBorder="1" applyAlignment="1" applyProtection="1">
      <alignment horizontal="left" vertical="center"/>
      <protection locked="0"/>
    </xf>
    <xf numFmtId="0" fontId="8" fillId="3" borderId="41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42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3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4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0" fillId="2" borderId="28" xfId="0" applyFill="1" applyBorder="1" applyProtection="1"/>
    <xf numFmtId="0" fontId="0" fillId="2" borderId="35" xfId="0" applyFill="1" applyBorder="1" applyProtection="1"/>
    <xf numFmtId="0" fontId="0" fillId="2" borderId="35" xfId="0" applyFill="1" applyBorder="1" applyProtection="1">
      <protection locked="0"/>
    </xf>
    <xf numFmtId="0" fontId="0" fillId="2" borderId="45" xfId="0" applyFill="1" applyBorder="1" applyProtection="1">
      <protection locked="0"/>
    </xf>
    <xf numFmtId="0" fontId="0" fillId="2" borderId="29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70" fontId="8" fillId="3" borderId="17" xfId="0" applyNumberFormat="1" applyFont="1" applyFill="1" applyBorder="1" applyAlignment="1" applyProtection="1">
      <alignment horizontal="right" vertical="center"/>
      <protection locked="0"/>
    </xf>
    <xf numFmtId="170" fontId="4" fillId="0" borderId="23" xfId="0" applyNumberFormat="1" applyFont="1" applyBorder="1" applyAlignment="1" applyProtection="1">
      <alignment horizontal="right" vertical="center"/>
    </xf>
    <xf numFmtId="170" fontId="3" fillId="0" borderId="0" xfId="0" applyNumberFormat="1" applyFont="1" applyAlignment="1" applyProtection="1">
      <alignment horizontal="left" vertical="center"/>
    </xf>
    <xf numFmtId="170" fontId="4" fillId="0" borderId="12" xfId="0" applyNumberFormat="1" applyFont="1" applyBorder="1" applyAlignment="1" applyProtection="1">
      <alignment horizontal="right" vertical="center"/>
    </xf>
    <xf numFmtId="170" fontId="4" fillId="0" borderId="23" xfId="0" applyNumberFormat="1" applyFont="1" applyBorder="1" applyAlignment="1">
      <alignment horizontal="right" vertical="center"/>
    </xf>
    <xf numFmtId="170" fontId="3" fillId="0" borderId="0" xfId="0" applyNumberFormat="1" applyFont="1" applyAlignment="1">
      <alignment horizontal="left" vertical="center"/>
    </xf>
    <xf numFmtId="170" fontId="4" fillId="0" borderId="0" xfId="0" applyNumberFormat="1" applyFont="1" applyAlignment="1">
      <alignment horizontal="center" vertical="center"/>
    </xf>
    <xf numFmtId="170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16" xfId="0" applyFont="1" applyFill="1" applyBorder="1" applyAlignment="1" applyProtection="1">
      <alignment horizontal="left" vertical="center" indent="1"/>
    </xf>
    <xf numFmtId="0" fontId="2" fillId="2" borderId="10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top" wrapText="1"/>
    </xf>
    <xf numFmtId="0" fontId="2" fillId="2" borderId="38" xfId="0" applyFont="1" applyFill="1" applyBorder="1" applyAlignment="1" applyProtection="1">
      <alignment horizontal="left" vertical="center" indent="1"/>
    </xf>
    <xf numFmtId="0" fontId="2" fillId="2" borderId="39" xfId="0" applyFont="1" applyFill="1" applyBorder="1" applyAlignment="1" applyProtection="1">
      <alignment horizontal="left" vertical="center" inden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14" xfId="0" applyFont="1" applyFill="1" applyBorder="1" applyAlignment="1" applyProtection="1">
      <alignment horizontal="left" vertical="center" indent="1"/>
    </xf>
    <xf numFmtId="0" fontId="2" fillId="2" borderId="2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8"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16</xdr:row>
          <xdr:rowOff>76200</xdr:rowOff>
        </xdr:from>
        <xdr:to>
          <xdr:col>3</xdr:col>
          <xdr:colOff>561975</xdr:colOff>
          <xdr:row>16</xdr:row>
          <xdr:rowOff>342900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16</xdr:row>
          <xdr:rowOff>76200</xdr:rowOff>
        </xdr:from>
        <xdr:to>
          <xdr:col>3</xdr:col>
          <xdr:colOff>1895475</xdr:colOff>
          <xdr:row>16</xdr:row>
          <xdr:rowOff>342900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266700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266700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38100</xdr:rowOff>
        </xdr:from>
        <xdr:to>
          <xdr:col>1</xdr:col>
          <xdr:colOff>1266825</xdr:colOff>
          <xdr:row>9</xdr:row>
          <xdr:rowOff>304800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38100</xdr:rowOff>
        </xdr:from>
        <xdr:to>
          <xdr:col>2</xdr:col>
          <xdr:colOff>1266825</xdr:colOff>
          <xdr:row>9</xdr:row>
          <xdr:rowOff>304800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400050</xdr:rowOff>
        </xdr:from>
        <xdr:to>
          <xdr:col>2</xdr:col>
          <xdr:colOff>447675</xdr:colOff>
          <xdr:row>9</xdr:row>
          <xdr:rowOff>676275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Raw Data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9</xdr:row>
          <xdr:rowOff>400050</xdr:rowOff>
        </xdr:from>
        <xdr:to>
          <xdr:col>3</xdr:col>
          <xdr:colOff>981075</xdr:colOff>
          <xdr:row>9</xdr:row>
          <xdr:rowOff>676275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19050</xdr:rowOff>
        </xdr:from>
        <xdr:to>
          <xdr:col>1</xdr:col>
          <xdr:colOff>1285875</xdr:colOff>
          <xdr:row>9</xdr:row>
          <xdr:rowOff>285750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19050</xdr:rowOff>
        </xdr:from>
        <xdr:to>
          <xdr:col>2</xdr:col>
          <xdr:colOff>1295400</xdr:colOff>
          <xdr:row>9</xdr:row>
          <xdr:rowOff>285750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361950</xdr:rowOff>
        </xdr:from>
        <xdr:to>
          <xdr:col>2</xdr:col>
          <xdr:colOff>466725</xdr:colOff>
          <xdr:row>9</xdr:row>
          <xdr:rowOff>638175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Raw Data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9</xdr:row>
          <xdr:rowOff>352425</xdr:rowOff>
        </xdr:from>
        <xdr:to>
          <xdr:col>3</xdr:col>
          <xdr:colOff>990600</xdr:colOff>
          <xdr:row>9</xdr:row>
          <xdr:rowOff>628650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Q316"/>
  <sheetViews>
    <sheetView tabSelected="1" zoomScale="90" zoomScaleNormal="90" workbookViewId="0">
      <selection activeCell="AA5" sqref="AA5"/>
    </sheetView>
  </sheetViews>
  <sheetFormatPr defaultRowHeight="15" x14ac:dyDescent="0.25"/>
  <cols>
    <col min="1" max="1" width="2.7109375" style="152" customWidth="1"/>
    <col min="2" max="2" width="5.7109375" style="152" customWidth="1"/>
    <col min="3" max="3" width="11.140625" style="152" customWidth="1"/>
    <col min="4" max="4" width="30.85546875" style="152" customWidth="1"/>
    <col min="5" max="5" width="29.140625" style="152" customWidth="1"/>
    <col min="6" max="6" width="21" style="152" customWidth="1"/>
    <col min="7" max="7" width="15.7109375" style="152" hidden="1" customWidth="1"/>
    <col min="8" max="8" width="110.28515625" style="152" hidden="1" customWidth="1"/>
    <col min="9" max="9" width="0.85546875" style="152" hidden="1" customWidth="1"/>
    <col min="10" max="10" width="9.140625" style="152" hidden="1" customWidth="1"/>
    <col min="11" max="11" width="4.5703125" style="152" customWidth="1"/>
    <col min="12" max="12" width="15.5703125" style="152" hidden="1" customWidth="1"/>
    <col min="13" max="15" width="9.140625" style="152" hidden="1" customWidth="1"/>
    <col min="16" max="18" width="0" style="152" hidden="1" customWidth="1"/>
    <col min="19" max="16384" width="9.140625" style="152"/>
  </cols>
  <sheetData>
    <row r="2" spans="2:14" x14ac:dyDescent="0.25">
      <c r="B2" s="158"/>
      <c r="C2" s="159" t="s">
        <v>581</v>
      </c>
      <c r="D2" s="160"/>
      <c r="E2" s="160"/>
      <c r="F2" s="160"/>
      <c r="G2" s="160"/>
      <c r="H2" s="160"/>
      <c r="I2" s="161"/>
      <c r="J2" s="160"/>
      <c r="K2" s="162"/>
      <c r="L2" s="151"/>
      <c r="M2" s="151"/>
      <c r="N2" s="151"/>
    </row>
    <row r="3" spans="2:14" ht="49.5" customHeight="1" x14ac:dyDescent="0.25">
      <c r="B3" s="163"/>
      <c r="C3" s="188" t="s">
        <v>611</v>
      </c>
      <c r="D3" s="189"/>
      <c r="E3" s="189"/>
      <c r="F3" s="189"/>
      <c r="G3" s="17"/>
      <c r="H3" s="17"/>
      <c r="I3" s="18"/>
      <c r="J3" s="17"/>
      <c r="K3" s="164"/>
      <c r="L3" s="151"/>
      <c r="M3" s="151"/>
      <c r="N3" s="151"/>
    </row>
    <row r="4" spans="2:14" x14ac:dyDescent="0.25">
      <c r="B4" s="163"/>
      <c r="C4" s="19" t="s">
        <v>0</v>
      </c>
      <c r="D4" s="20"/>
      <c r="E4" s="20"/>
      <c r="F4" s="17"/>
      <c r="G4" s="17"/>
      <c r="H4" s="17"/>
      <c r="I4" s="18"/>
      <c r="J4" s="17"/>
      <c r="K4" s="164"/>
      <c r="L4" s="151"/>
      <c r="M4" s="151"/>
      <c r="N4" s="151"/>
    </row>
    <row r="5" spans="2:14" x14ac:dyDescent="0.25">
      <c r="B5" s="163"/>
      <c r="C5" s="21" t="s">
        <v>1</v>
      </c>
      <c r="D5" s="20"/>
      <c r="E5" s="20"/>
      <c r="F5" s="17"/>
      <c r="G5" s="17"/>
      <c r="H5" s="17"/>
      <c r="I5" s="18"/>
      <c r="J5" s="17"/>
      <c r="K5" s="164"/>
      <c r="L5" s="151"/>
      <c r="M5" s="151" t="s">
        <v>3</v>
      </c>
      <c r="N5" s="151"/>
    </row>
    <row r="6" spans="2:14" x14ac:dyDescent="0.25">
      <c r="B6" s="163"/>
      <c r="C6" s="22" t="s">
        <v>2</v>
      </c>
      <c r="D6" s="22"/>
      <c r="E6" s="23"/>
      <c r="F6" s="17"/>
      <c r="G6" s="17"/>
      <c r="H6" s="17"/>
      <c r="I6" s="18"/>
      <c r="J6" s="17"/>
      <c r="K6" s="164"/>
      <c r="L6" s="151"/>
      <c r="M6" s="151" t="s">
        <v>4</v>
      </c>
      <c r="N6" s="151"/>
    </row>
    <row r="7" spans="2:14" x14ac:dyDescent="0.25">
      <c r="B7" s="163"/>
      <c r="C7" s="17"/>
      <c r="D7" s="17"/>
      <c r="E7" s="32"/>
      <c r="F7" s="17"/>
      <c r="G7" s="17"/>
      <c r="H7" s="17"/>
      <c r="I7" s="18"/>
      <c r="J7" s="17"/>
      <c r="K7" s="164"/>
      <c r="L7" s="151"/>
      <c r="M7" s="151"/>
      <c r="N7" s="151"/>
    </row>
    <row r="8" spans="2:14" ht="15" customHeight="1" x14ac:dyDescent="0.25">
      <c r="B8" s="163"/>
      <c r="C8" s="24" t="s">
        <v>566</v>
      </c>
      <c r="D8" s="17"/>
      <c r="E8" s="17"/>
      <c r="F8" s="17"/>
      <c r="G8" s="17"/>
      <c r="H8" s="17"/>
      <c r="I8" s="18"/>
      <c r="J8" s="17"/>
      <c r="K8" s="164"/>
      <c r="L8" s="151"/>
      <c r="M8" s="151"/>
      <c r="N8" s="151"/>
    </row>
    <row r="9" spans="2:14" ht="15" customHeight="1" x14ac:dyDescent="0.25">
      <c r="B9" s="163"/>
      <c r="C9" s="190" t="s">
        <v>494</v>
      </c>
      <c r="D9" s="191"/>
      <c r="E9" s="191"/>
      <c r="F9" s="143"/>
      <c r="G9" s="14"/>
      <c r="H9" s="14"/>
      <c r="I9" s="15"/>
      <c r="J9" s="14"/>
      <c r="K9" s="164"/>
      <c r="L9" s="151"/>
      <c r="M9" s="151"/>
      <c r="N9" s="151"/>
    </row>
    <row r="10" spans="2:14" ht="15" customHeight="1" x14ac:dyDescent="0.25">
      <c r="B10" s="163"/>
      <c r="C10" s="183" t="s">
        <v>495</v>
      </c>
      <c r="D10" s="184"/>
      <c r="E10" s="184"/>
      <c r="F10" s="144"/>
      <c r="G10" s="14"/>
      <c r="H10" s="14"/>
      <c r="I10" s="15"/>
      <c r="J10" s="14"/>
      <c r="K10" s="164"/>
      <c r="L10" s="151"/>
      <c r="M10" s="151"/>
      <c r="N10" s="151"/>
    </row>
    <row r="11" spans="2:14" ht="15" customHeight="1" x14ac:dyDescent="0.25">
      <c r="B11" s="163"/>
      <c r="C11" s="183" t="s">
        <v>496</v>
      </c>
      <c r="D11" s="184"/>
      <c r="E11" s="184"/>
      <c r="F11" s="145"/>
      <c r="G11" s="14"/>
      <c r="H11" s="14"/>
      <c r="I11" s="15"/>
      <c r="J11" s="14"/>
      <c r="K11" s="164"/>
      <c r="L11" s="151"/>
      <c r="M11" s="151"/>
      <c r="N11" s="151"/>
    </row>
    <row r="12" spans="2:14" ht="15" customHeight="1" x14ac:dyDescent="0.25">
      <c r="B12" s="163"/>
      <c r="C12" s="186" t="s">
        <v>497</v>
      </c>
      <c r="D12" s="187"/>
      <c r="E12" s="187"/>
      <c r="F12" s="146"/>
      <c r="G12" s="14"/>
      <c r="H12" s="14"/>
      <c r="I12" s="15"/>
      <c r="J12" s="14"/>
      <c r="K12" s="164"/>
      <c r="L12" s="151"/>
      <c r="M12" s="151"/>
      <c r="N12" s="151"/>
    </row>
    <row r="13" spans="2:14" x14ac:dyDescent="0.25">
      <c r="B13" s="163"/>
      <c r="C13" s="17"/>
      <c r="D13" s="17"/>
      <c r="E13" s="17"/>
      <c r="F13" s="17"/>
      <c r="G13" s="17"/>
      <c r="H13" s="17"/>
      <c r="I13" s="18"/>
      <c r="J13" s="17"/>
      <c r="K13" s="164"/>
      <c r="L13" s="151"/>
      <c r="M13" s="151"/>
      <c r="N13" s="151"/>
    </row>
    <row r="14" spans="2:14" x14ac:dyDescent="0.25">
      <c r="B14" s="163"/>
      <c r="C14" s="24" t="s">
        <v>5</v>
      </c>
      <c r="D14" s="17"/>
      <c r="E14" s="17"/>
      <c r="F14" s="17"/>
      <c r="G14" s="17"/>
      <c r="H14" s="17"/>
      <c r="I14" s="18"/>
      <c r="J14" s="17"/>
      <c r="K14" s="164"/>
      <c r="L14" s="151"/>
      <c r="M14" s="151"/>
      <c r="N14" s="151"/>
    </row>
    <row r="15" spans="2:14" ht="21" customHeight="1" x14ac:dyDescent="0.25">
      <c r="B15" s="163"/>
      <c r="C15" s="157" t="s">
        <v>571</v>
      </c>
      <c r="D15" s="148"/>
      <c r="E15" s="149"/>
      <c r="F15" s="147" t="s">
        <v>555</v>
      </c>
      <c r="G15" s="17"/>
      <c r="H15" s="17"/>
      <c r="I15" s="18"/>
      <c r="J15" s="17"/>
      <c r="K15" s="164"/>
      <c r="L15" s="151"/>
      <c r="M15" s="151"/>
      <c r="N15" s="151"/>
    </row>
    <row r="16" spans="2:14" ht="24" customHeight="1" x14ac:dyDescent="0.25">
      <c r="B16" s="163"/>
      <c r="C16" s="150" t="s">
        <v>498</v>
      </c>
      <c r="D16" s="25"/>
      <c r="E16" s="26"/>
      <c r="F16" s="17"/>
      <c r="G16" s="17"/>
      <c r="H16" s="17"/>
      <c r="I16" s="18"/>
      <c r="J16" s="17"/>
      <c r="K16" s="164"/>
      <c r="L16" s="151"/>
      <c r="M16" s="151"/>
      <c r="N16" s="151"/>
    </row>
    <row r="17" spans="2:17" ht="30" customHeight="1" x14ac:dyDescent="0.25">
      <c r="B17" s="163"/>
      <c r="C17" s="17"/>
      <c r="D17" s="14"/>
      <c r="E17" s="17"/>
      <c r="F17" s="17"/>
      <c r="G17" s="17"/>
      <c r="H17" s="17"/>
      <c r="I17" s="18"/>
      <c r="J17" s="17"/>
      <c r="K17" s="164"/>
    </row>
    <row r="18" spans="2:17" x14ac:dyDescent="0.25">
      <c r="B18" s="163"/>
      <c r="C18" s="17"/>
      <c r="D18" s="17"/>
      <c r="E18" s="17"/>
      <c r="F18" s="17"/>
      <c r="G18" s="14"/>
      <c r="H18" s="14"/>
      <c r="I18" s="15"/>
      <c r="J18" s="14"/>
      <c r="K18" s="164"/>
    </row>
    <row r="19" spans="2:17" x14ac:dyDescent="0.25">
      <c r="B19" s="163"/>
      <c r="C19" s="28" t="s">
        <v>580</v>
      </c>
      <c r="D19" s="24"/>
      <c r="E19" s="17"/>
      <c r="F19" s="17"/>
      <c r="G19" s="14"/>
      <c r="H19" s="14"/>
      <c r="I19" s="15"/>
      <c r="J19" s="14"/>
      <c r="K19" s="164"/>
    </row>
    <row r="20" spans="2:17" ht="42" customHeight="1" x14ac:dyDescent="0.25">
      <c r="B20" s="163"/>
      <c r="C20" s="185" t="s">
        <v>579</v>
      </c>
      <c r="D20" s="185"/>
      <c r="E20" s="185"/>
      <c r="F20" s="185"/>
      <c r="G20" s="14"/>
      <c r="H20" s="14"/>
      <c r="I20" s="15"/>
      <c r="J20" s="14"/>
      <c r="K20" s="164"/>
    </row>
    <row r="21" spans="2:17" x14ac:dyDescent="0.25">
      <c r="B21" s="165"/>
      <c r="C21" s="166"/>
      <c r="D21" s="166"/>
      <c r="E21" s="166"/>
      <c r="F21" s="166"/>
      <c r="G21" s="167"/>
      <c r="H21" s="167"/>
      <c r="I21" s="168"/>
      <c r="J21" s="167"/>
      <c r="K21" s="169"/>
    </row>
    <row r="22" spans="2:17" ht="21" customHeight="1" x14ac:dyDescent="0.25">
      <c r="F22" s="153"/>
      <c r="G22" s="153"/>
      <c r="H22" s="153"/>
      <c r="I22" s="153"/>
      <c r="J22" s="153"/>
      <c r="K22" s="170" t="s">
        <v>612</v>
      </c>
    </row>
    <row r="23" spans="2:17" ht="11.25" customHeight="1" x14ac:dyDescent="0.25">
      <c r="F23" s="153"/>
      <c r="G23" s="153"/>
      <c r="H23" s="153"/>
      <c r="I23" s="153"/>
      <c r="J23" s="153"/>
      <c r="K23" s="170" t="s">
        <v>576</v>
      </c>
      <c r="L23" s="154" t="s">
        <v>6</v>
      </c>
      <c r="M23" s="154" t="s">
        <v>7</v>
      </c>
      <c r="O23" s="152" t="s">
        <v>555</v>
      </c>
      <c r="Q23" s="152" t="s">
        <v>555</v>
      </c>
    </row>
    <row r="24" spans="2:17" ht="11.25" customHeight="1" x14ac:dyDescent="0.25">
      <c r="F24" s="153"/>
      <c r="G24" s="153"/>
      <c r="H24" s="153"/>
      <c r="I24" s="153"/>
      <c r="J24" s="153"/>
      <c r="K24" s="170" t="s">
        <v>577</v>
      </c>
      <c r="L24" s="154" t="s">
        <v>8</v>
      </c>
      <c r="M24" s="154" t="s">
        <v>9</v>
      </c>
      <c r="O24" s="152" t="s">
        <v>547</v>
      </c>
      <c r="Q24" s="152" t="s">
        <v>547</v>
      </c>
    </row>
    <row r="25" spans="2:17" ht="11.25" customHeight="1" x14ac:dyDescent="0.25">
      <c r="F25" s="153"/>
      <c r="G25" s="153"/>
      <c r="H25" s="153"/>
      <c r="I25" s="153"/>
      <c r="J25" s="153"/>
      <c r="K25" s="170" t="s">
        <v>578</v>
      </c>
      <c r="L25" s="154" t="s">
        <v>10</v>
      </c>
      <c r="M25" s="154" t="s">
        <v>11</v>
      </c>
      <c r="O25" s="152" t="s">
        <v>565</v>
      </c>
      <c r="Q25" s="152" t="s">
        <v>565</v>
      </c>
    </row>
    <row r="26" spans="2:17" ht="11.25" customHeight="1" x14ac:dyDescent="0.25">
      <c r="K26" s="156"/>
      <c r="L26" s="154" t="s">
        <v>12</v>
      </c>
      <c r="M26" s="154" t="s">
        <v>13</v>
      </c>
      <c r="O26" s="152" t="s">
        <v>562</v>
      </c>
    </row>
    <row r="27" spans="2:17" x14ac:dyDescent="0.25">
      <c r="K27" s="156"/>
      <c r="L27" s="154" t="s">
        <v>14</v>
      </c>
      <c r="M27" s="154" t="s">
        <v>15</v>
      </c>
      <c r="O27" s="152" t="s">
        <v>564</v>
      </c>
    </row>
    <row r="28" spans="2:17" x14ac:dyDescent="0.25">
      <c r="K28" s="156"/>
      <c r="L28" s="154" t="s">
        <v>16</v>
      </c>
      <c r="M28" s="154" t="s">
        <v>17</v>
      </c>
      <c r="O28" s="152" t="s">
        <v>563</v>
      </c>
    </row>
    <row r="29" spans="2:17" x14ac:dyDescent="0.25">
      <c r="L29" s="154" t="s">
        <v>18</v>
      </c>
      <c r="M29" s="154" t="s">
        <v>19</v>
      </c>
    </row>
    <row r="30" spans="2:17" x14ac:dyDescent="0.25">
      <c r="L30" s="154" t="s">
        <v>20</v>
      </c>
      <c r="M30" s="154" t="s">
        <v>21</v>
      </c>
    </row>
    <row r="31" spans="2:17" x14ac:dyDescent="0.25">
      <c r="L31" s="154" t="s">
        <v>22</v>
      </c>
      <c r="M31" s="154" t="s">
        <v>23</v>
      </c>
    </row>
    <row r="32" spans="2:17" x14ac:dyDescent="0.25">
      <c r="L32" s="154" t="s">
        <v>24</v>
      </c>
      <c r="M32" s="154" t="s">
        <v>25</v>
      </c>
    </row>
    <row r="33" spans="12:13" x14ac:dyDescent="0.25">
      <c r="L33" s="154" t="s">
        <v>26</v>
      </c>
      <c r="M33" s="154" t="s">
        <v>27</v>
      </c>
    </row>
    <row r="34" spans="12:13" x14ac:dyDescent="0.25">
      <c r="L34" s="154" t="s">
        <v>28</v>
      </c>
      <c r="M34" s="154" t="s">
        <v>29</v>
      </c>
    </row>
    <row r="35" spans="12:13" x14ac:dyDescent="0.25">
      <c r="L35" s="154" t="s">
        <v>30</v>
      </c>
      <c r="M35" s="154" t="s">
        <v>31</v>
      </c>
    </row>
    <row r="36" spans="12:13" x14ac:dyDescent="0.25">
      <c r="L36" s="154" t="s">
        <v>32</v>
      </c>
      <c r="M36" s="154" t="s">
        <v>33</v>
      </c>
    </row>
    <row r="37" spans="12:13" x14ac:dyDescent="0.25">
      <c r="L37" s="154" t="s">
        <v>34</v>
      </c>
      <c r="M37" s="154" t="s">
        <v>35</v>
      </c>
    </row>
    <row r="38" spans="12:13" x14ac:dyDescent="0.25">
      <c r="L38" s="154" t="s">
        <v>36</v>
      </c>
      <c r="M38" s="154" t="s">
        <v>37</v>
      </c>
    </row>
    <row r="39" spans="12:13" x14ac:dyDescent="0.25">
      <c r="L39" s="154" t="s">
        <v>38</v>
      </c>
      <c r="M39" s="154" t="s">
        <v>39</v>
      </c>
    </row>
    <row r="40" spans="12:13" x14ac:dyDescent="0.25">
      <c r="L40" s="154" t="s">
        <v>40</v>
      </c>
      <c r="M40" s="154" t="s">
        <v>41</v>
      </c>
    </row>
    <row r="41" spans="12:13" x14ac:dyDescent="0.25">
      <c r="L41" s="154" t="s">
        <v>42</v>
      </c>
      <c r="M41" s="154" t="s">
        <v>43</v>
      </c>
    </row>
    <row r="42" spans="12:13" x14ac:dyDescent="0.25">
      <c r="L42" s="154" t="s">
        <v>44</v>
      </c>
      <c r="M42" s="154" t="s">
        <v>45</v>
      </c>
    </row>
    <row r="43" spans="12:13" x14ac:dyDescent="0.25">
      <c r="L43" s="154" t="s">
        <v>46</v>
      </c>
      <c r="M43" s="154" t="s">
        <v>47</v>
      </c>
    </row>
    <row r="44" spans="12:13" x14ac:dyDescent="0.25">
      <c r="L44" s="154" t="s">
        <v>48</v>
      </c>
      <c r="M44" s="154" t="s">
        <v>49</v>
      </c>
    </row>
    <row r="45" spans="12:13" x14ac:dyDescent="0.25">
      <c r="L45" s="154" t="s">
        <v>50</v>
      </c>
      <c r="M45" s="154" t="s">
        <v>51</v>
      </c>
    </row>
    <row r="46" spans="12:13" x14ac:dyDescent="0.25">
      <c r="L46" s="154" t="s">
        <v>52</v>
      </c>
      <c r="M46" s="154" t="s">
        <v>53</v>
      </c>
    </row>
    <row r="47" spans="12:13" x14ac:dyDescent="0.25">
      <c r="L47" s="154" t="s">
        <v>54</v>
      </c>
      <c r="M47" s="154" t="s">
        <v>55</v>
      </c>
    </row>
    <row r="48" spans="12:13" x14ac:dyDescent="0.25">
      <c r="L48" s="154" t="s">
        <v>56</v>
      </c>
      <c r="M48" s="154" t="s">
        <v>57</v>
      </c>
    </row>
    <row r="49" spans="12:13" x14ac:dyDescent="0.25">
      <c r="L49" s="154" t="s">
        <v>58</v>
      </c>
      <c r="M49" s="154" t="s">
        <v>59</v>
      </c>
    </row>
    <row r="50" spans="12:13" x14ac:dyDescent="0.25">
      <c r="L50" s="154" t="s">
        <v>60</v>
      </c>
      <c r="M50" s="154" t="s">
        <v>61</v>
      </c>
    </row>
    <row r="51" spans="12:13" x14ac:dyDescent="0.25">
      <c r="L51" s="154" t="s">
        <v>62</v>
      </c>
      <c r="M51" s="154" t="s">
        <v>63</v>
      </c>
    </row>
    <row r="52" spans="12:13" x14ac:dyDescent="0.25">
      <c r="L52" s="154" t="s">
        <v>64</v>
      </c>
      <c r="M52" s="154" t="s">
        <v>65</v>
      </c>
    </row>
    <row r="53" spans="12:13" x14ac:dyDescent="0.25">
      <c r="L53" s="154" t="s">
        <v>66</v>
      </c>
      <c r="M53" s="154" t="s">
        <v>67</v>
      </c>
    </row>
    <row r="54" spans="12:13" x14ac:dyDescent="0.25">
      <c r="L54" s="154" t="s">
        <v>68</v>
      </c>
      <c r="M54" s="154" t="s">
        <v>69</v>
      </c>
    </row>
    <row r="55" spans="12:13" x14ac:dyDescent="0.25">
      <c r="L55" s="154" t="s">
        <v>70</v>
      </c>
      <c r="M55" s="154" t="s">
        <v>71</v>
      </c>
    </row>
    <row r="56" spans="12:13" x14ac:dyDescent="0.25">
      <c r="L56" s="154" t="s">
        <v>72</v>
      </c>
      <c r="M56" s="154" t="s">
        <v>73</v>
      </c>
    </row>
    <row r="57" spans="12:13" x14ac:dyDescent="0.25">
      <c r="L57" s="154" t="s">
        <v>74</v>
      </c>
      <c r="M57" s="154" t="s">
        <v>75</v>
      </c>
    </row>
    <row r="58" spans="12:13" x14ac:dyDescent="0.25">
      <c r="L58" s="154" t="s">
        <v>76</v>
      </c>
      <c r="M58" s="154" t="s">
        <v>77</v>
      </c>
    </row>
    <row r="59" spans="12:13" x14ac:dyDescent="0.25">
      <c r="L59" s="154" t="s">
        <v>78</v>
      </c>
      <c r="M59" s="154" t="s">
        <v>79</v>
      </c>
    </row>
    <row r="60" spans="12:13" x14ac:dyDescent="0.25">
      <c r="L60" s="154" t="s">
        <v>80</v>
      </c>
      <c r="M60" s="154" t="s">
        <v>81</v>
      </c>
    </row>
    <row r="61" spans="12:13" x14ac:dyDescent="0.25">
      <c r="L61" s="154" t="s">
        <v>82</v>
      </c>
      <c r="M61" s="154" t="s">
        <v>83</v>
      </c>
    </row>
    <row r="62" spans="12:13" x14ac:dyDescent="0.25">
      <c r="L62" s="154" t="s">
        <v>84</v>
      </c>
      <c r="M62" s="154" t="s">
        <v>85</v>
      </c>
    </row>
    <row r="63" spans="12:13" x14ac:dyDescent="0.25">
      <c r="L63" s="154" t="s">
        <v>86</v>
      </c>
      <c r="M63" s="154" t="s">
        <v>87</v>
      </c>
    </row>
    <row r="64" spans="12:13" x14ac:dyDescent="0.25">
      <c r="L64" s="154" t="s">
        <v>88</v>
      </c>
      <c r="M64" s="154" t="s">
        <v>89</v>
      </c>
    </row>
    <row r="65" spans="12:13" x14ac:dyDescent="0.25">
      <c r="L65" s="154" t="s">
        <v>90</v>
      </c>
      <c r="M65" s="154" t="s">
        <v>91</v>
      </c>
    </row>
    <row r="66" spans="12:13" x14ac:dyDescent="0.25">
      <c r="L66" s="154" t="s">
        <v>92</v>
      </c>
      <c r="M66" s="154" t="s">
        <v>93</v>
      </c>
    </row>
    <row r="67" spans="12:13" x14ac:dyDescent="0.25">
      <c r="L67" s="154" t="s">
        <v>94</v>
      </c>
      <c r="M67" s="154" t="s">
        <v>95</v>
      </c>
    </row>
    <row r="68" spans="12:13" x14ac:dyDescent="0.25">
      <c r="L68" s="154" t="s">
        <v>96</v>
      </c>
      <c r="M68" s="154" t="s">
        <v>97</v>
      </c>
    </row>
    <row r="69" spans="12:13" x14ac:dyDescent="0.25">
      <c r="L69" s="154" t="s">
        <v>98</v>
      </c>
      <c r="M69" s="154" t="s">
        <v>99</v>
      </c>
    </row>
    <row r="70" spans="12:13" x14ac:dyDescent="0.25">
      <c r="L70" s="154" t="s">
        <v>100</v>
      </c>
      <c r="M70" s="154" t="s">
        <v>101</v>
      </c>
    </row>
    <row r="71" spans="12:13" x14ac:dyDescent="0.25">
      <c r="L71" s="154" t="s">
        <v>102</v>
      </c>
      <c r="M71" s="154" t="s">
        <v>103</v>
      </c>
    </row>
    <row r="72" spans="12:13" x14ac:dyDescent="0.25">
      <c r="L72" s="154" t="s">
        <v>104</v>
      </c>
      <c r="M72" s="154" t="s">
        <v>105</v>
      </c>
    </row>
    <row r="73" spans="12:13" x14ac:dyDescent="0.25">
      <c r="L73" s="154" t="s">
        <v>106</v>
      </c>
      <c r="M73" s="154" t="s">
        <v>107</v>
      </c>
    </row>
    <row r="74" spans="12:13" x14ac:dyDescent="0.25">
      <c r="L74" s="154" t="s">
        <v>108</v>
      </c>
      <c r="M74" s="154" t="s">
        <v>109</v>
      </c>
    </row>
    <row r="75" spans="12:13" x14ac:dyDescent="0.25">
      <c r="L75" s="154" t="s">
        <v>110</v>
      </c>
      <c r="M75" s="154" t="s">
        <v>111</v>
      </c>
    </row>
    <row r="76" spans="12:13" x14ac:dyDescent="0.25">
      <c r="L76" s="154" t="s">
        <v>112</v>
      </c>
      <c r="M76" s="154" t="s">
        <v>113</v>
      </c>
    </row>
    <row r="77" spans="12:13" x14ac:dyDescent="0.25">
      <c r="L77" s="154" t="s">
        <v>114</v>
      </c>
      <c r="M77" s="154" t="s">
        <v>115</v>
      </c>
    </row>
    <row r="78" spans="12:13" x14ac:dyDescent="0.25">
      <c r="L78" s="154" t="s">
        <v>116</v>
      </c>
      <c r="M78" s="154" t="s">
        <v>117</v>
      </c>
    </row>
    <row r="79" spans="12:13" x14ac:dyDescent="0.25">
      <c r="L79" s="154" t="s">
        <v>118</v>
      </c>
      <c r="M79" s="154" t="s">
        <v>119</v>
      </c>
    </row>
    <row r="80" spans="12:13" x14ac:dyDescent="0.25">
      <c r="L80" s="154" t="s">
        <v>120</v>
      </c>
      <c r="M80" s="154" t="s">
        <v>121</v>
      </c>
    </row>
    <row r="81" spans="12:13" x14ac:dyDescent="0.25">
      <c r="L81" s="154" t="s">
        <v>122</v>
      </c>
      <c r="M81" s="154" t="s">
        <v>123</v>
      </c>
    </row>
    <row r="82" spans="12:13" x14ac:dyDescent="0.25">
      <c r="L82" s="154" t="s">
        <v>124</v>
      </c>
      <c r="M82" s="154" t="s">
        <v>125</v>
      </c>
    </row>
    <row r="83" spans="12:13" x14ac:dyDescent="0.25">
      <c r="L83" s="154" t="s">
        <v>126</v>
      </c>
      <c r="M83" s="154" t="s">
        <v>127</v>
      </c>
    </row>
    <row r="84" spans="12:13" x14ac:dyDescent="0.25">
      <c r="L84" s="154" t="s">
        <v>128</v>
      </c>
      <c r="M84" s="154" t="s">
        <v>129</v>
      </c>
    </row>
    <row r="85" spans="12:13" x14ac:dyDescent="0.25">
      <c r="L85" s="154" t="s">
        <v>130</v>
      </c>
      <c r="M85" s="154" t="s">
        <v>131</v>
      </c>
    </row>
    <row r="86" spans="12:13" x14ac:dyDescent="0.25">
      <c r="L86" s="154" t="s">
        <v>132</v>
      </c>
      <c r="M86" s="154" t="s">
        <v>133</v>
      </c>
    </row>
    <row r="87" spans="12:13" x14ac:dyDescent="0.25">
      <c r="L87" s="154" t="s">
        <v>134</v>
      </c>
      <c r="M87" s="154" t="s">
        <v>135</v>
      </c>
    </row>
    <row r="88" spans="12:13" x14ac:dyDescent="0.25">
      <c r="L88" s="154" t="s">
        <v>136</v>
      </c>
      <c r="M88" s="154" t="s">
        <v>137</v>
      </c>
    </row>
    <row r="89" spans="12:13" x14ac:dyDescent="0.25">
      <c r="L89" s="154" t="s">
        <v>138</v>
      </c>
      <c r="M89" s="154" t="s">
        <v>139</v>
      </c>
    </row>
    <row r="90" spans="12:13" x14ac:dyDescent="0.25">
      <c r="L90" s="154" t="s">
        <v>140</v>
      </c>
      <c r="M90" s="154" t="s">
        <v>141</v>
      </c>
    </row>
    <row r="91" spans="12:13" x14ac:dyDescent="0.25">
      <c r="L91" s="154" t="s">
        <v>142</v>
      </c>
      <c r="M91" s="154" t="s">
        <v>143</v>
      </c>
    </row>
    <row r="92" spans="12:13" x14ac:dyDescent="0.25">
      <c r="L92" s="154" t="s">
        <v>144</v>
      </c>
      <c r="M92" s="154" t="s">
        <v>145</v>
      </c>
    </row>
    <row r="93" spans="12:13" x14ac:dyDescent="0.25">
      <c r="L93" s="154" t="s">
        <v>146</v>
      </c>
      <c r="M93" s="154" t="s">
        <v>147</v>
      </c>
    </row>
    <row r="94" spans="12:13" x14ac:dyDescent="0.25">
      <c r="L94" s="154" t="s">
        <v>148</v>
      </c>
      <c r="M94" s="154" t="s">
        <v>149</v>
      </c>
    </row>
    <row r="95" spans="12:13" x14ac:dyDescent="0.25">
      <c r="L95" s="154" t="s">
        <v>150</v>
      </c>
      <c r="M95" s="154" t="s">
        <v>151</v>
      </c>
    </row>
    <row r="96" spans="12:13" x14ac:dyDescent="0.25">
      <c r="L96" s="154" t="s">
        <v>152</v>
      </c>
      <c r="M96" s="154" t="s">
        <v>153</v>
      </c>
    </row>
    <row r="97" spans="12:13" x14ac:dyDescent="0.25">
      <c r="L97" s="154" t="s">
        <v>154</v>
      </c>
      <c r="M97" s="154" t="s">
        <v>155</v>
      </c>
    </row>
    <row r="98" spans="12:13" x14ac:dyDescent="0.25">
      <c r="L98" s="154" t="s">
        <v>156</v>
      </c>
      <c r="M98" s="154" t="s">
        <v>157</v>
      </c>
    </row>
    <row r="99" spans="12:13" x14ac:dyDescent="0.25">
      <c r="L99" s="154" t="s">
        <v>158</v>
      </c>
      <c r="M99" s="154" t="s">
        <v>159</v>
      </c>
    </row>
    <row r="100" spans="12:13" x14ac:dyDescent="0.25">
      <c r="L100" s="154" t="s">
        <v>160</v>
      </c>
      <c r="M100" s="154" t="s">
        <v>161</v>
      </c>
    </row>
    <row r="101" spans="12:13" x14ac:dyDescent="0.25">
      <c r="L101" s="154" t="s">
        <v>162</v>
      </c>
      <c r="M101" s="154" t="s">
        <v>163</v>
      </c>
    </row>
    <row r="102" spans="12:13" x14ac:dyDescent="0.25">
      <c r="L102" s="154" t="s">
        <v>164</v>
      </c>
      <c r="M102" s="154" t="s">
        <v>165</v>
      </c>
    </row>
    <row r="103" spans="12:13" x14ac:dyDescent="0.25">
      <c r="L103" s="154" t="s">
        <v>166</v>
      </c>
      <c r="M103" s="154" t="s">
        <v>167</v>
      </c>
    </row>
    <row r="104" spans="12:13" x14ac:dyDescent="0.25">
      <c r="L104" s="154" t="s">
        <v>168</v>
      </c>
      <c r="M104" s="154" t="s">
        <v>169</v>
      </c>
    </row>
    <row r="105" spans="12:13" x14ac:dyDescent="0.25">
      <c r="L105" s="154" t="s">
        <v>170</v>
      </c>
      <c r="M105" s="154" t="s">
        <v>171</v>
      </c>
    </row>
    <row r="106" spans="12:13" x14ac:dyDescent="0.25">
      <c r="L106" s="154" t="s">
        <v>172</v>
      </c>
      <c r="M106" s="154" t="s">
        <v>173</v>
      </c>
    </row>
    <row r="107" spans="12:13" x14ac:dyDescent="0.25">
      <c r="L107" s="154" t="s">
        <v>174</v>
      </c>
      <c r="M107" s="154" t="s">
        <v>175</v>
      </c>
    </row>
    <row r="108" spans="12:13" x14ac:dyDescent="0.25">
      <c r="L108" s="154" t="s">
        <v>176</v>
      </c>
      <c r="M108" s="154" t="s">
        <v>177</v>
      </c>
    </row>
    <row r="109" spans="12:13" x14ac:dyDescent="0.25">
      <c r="L109" s="154" t="s">
        <v>178</v>
      </c>
      <c r="M109" s="154" t="s">
        <v>179</v>
      </c>
    </row>
    <row r="110" spans="12:13" x14ac:dyDescent="0.25">
      <c r="L110" s="154" t="s">
        <v>180</v>
      </c>
      <c r="M110" s="154" t="s">
        <v>181</v>
      </c>
    </row>
    <row r="111" spans="12:13" x14ac:dyDescent="0.25">
      <c r="L111" s="154" t="s">
        <v>182</v>
      </c>
      <c r="M111" s="154" t="s">
        <v>183</v>
      </c>
    </row>
    <row r="112" spans="12:13" x14ac:dyDescent="0.25">
      <c r="L112" s="154" t="s">
        <v>184</v>
      </c>
      <c r="M112" s="154" t="s">
        <v>185</v>
      </c>
    </row>
    <row r="113" spans="12:13" x14ac:dyDescent="0.25">
      <c r="L113" s="154" t="s">
        <v>186</v>
      </c>
      <c r="M113" s="154" t="s">
        <v>187</v>
      </c>
    </row>
    <row r="114" spans="12:13" x14ac:dyDescent="0.25">
      <c r="L114" s="154" t="s">
        <v>188</v>
      </c>
      <c r="M114" s="154" t="s">
        <v>189</v>
      </c>
    </row>
    <row r="115" spans="12:13" x14ac:dyDescent="0.25">
      <c r="L115" s="154" t="s">
        <v>190</v>
      </c>
      <c r="M115" s="154" t="s">
        <v>191</v>
      </c>
    </row>
    <row r="116" spans="12:13" x14ac:dyDescent="0.25">
      <c r="L116" s="154" t="s">
        <v>192</v>
      </c>
      <c r="M116" s="154" t="s">
        <v>193</v>
      </c>
    </row>
    <row r="117" spans="12:13" x14ac:dyDescent="0.25">
      <c r="L117" s="154" t="s">
        <v>194</v>
      </c>
      <c r="M117" s="154" t="s">
        <v>195</v>
      </c>
    </row>
    <row r="118" spans="12:13" x14ac:dyDescent="0.25">
      <c r="L118" s="154" t="s">
        <v>196</v>
      </c>
      <c r="M118" s="154" t="s">
        <v>197</v>
      </c>
    </row>
    <row r="119" spans="12:13" x14ac:dyDescent="0.25">
      <c r="L119" s="154" t="s">
        <v>198</v>
      </c>
      <c r="M119" s="154" t="s">
        <v>199</v>
      </c>
    </row>
    <row r="120" spans="12:13" x14ac:dyDescent="0.25">
      <c r="L120" s="154" t="s">
        <v>200</v>
      </c>
      <c r="M120" s="154" t="s">
        <v>201</v>
      </c>
    </row>
    <row r="121" spans="12:13" x14ac:dyDescent="0.25">
      <c r="L121" s="154" t="s">
        <v>202</v>
      </c>
      <c r="M121" s="154" t="s">
        <v>203</v>
      </c>
    </row>
    <row r="122" spans="12:13" x14ac:dyDescent="0.25">
      <c r="L122" s="154" t="s">
        <v>204</v>
      </c>
      <c r="M122" s="154" t="s">
        <v>205</v>
      </c>
    </row>
    <row r="123" spans="12:13" x14ac:dyDescent="0.25">
      <c r="L123" s="154" t="s">
        <v>206</v>
      </c>
      <c r="M123" s="154" t="s">
        <v>207</v>
      </c>
    </row>
    <row r="124" spans="12:13" x14ac:dyDescent="0.25">
      <c r="L124" s="154" t="s">
        <v>208</v>
      </c>
      <c r="M124" s="154" t="s">
        <v>209</v>
      </c>
    </row>
    <row r="125" spans="12:13" x14ac:dyDescent="0.25">
      <c r="L125" s="154" t="s">
        <v>210</v>
      </c>
      <c r="M125" s="154" t="s">
        <v>211</v>
      </c>
    </row>
    <row r="126" spans="12:13" x14ac:dyDescent="0.25">
      <c r="L126" s="154" t="s">
        <v>212</v>
      </c>
      <c r="M126" s="154" t="s">
        <v>213</v>
      </c>
    </row>
    <row r="127" spans="12:13" x14ac:dyDescent="0.25">
      <c r="L127" s="154" t="s">
        <v>214</v>
      </c>
      <c r="M127" s="154" t="s">
        <v>215</v>
      </c>
    </row>
    <row r="128" spans="12:13" x14ac:dyDescent="0.25">
      <c r="L128" s="154" t="s">
        <v>216</v>
      </c>
      <c r="M128" s="154" t="s">
        <v>217</v>
      </c>
    </row>
    <row r="129" spans="12:13" x14ac:dyDescent="0.25">
      <c r="L129" s="154" t="s">
        <v>218</v>
      </c>
      <c r="M129" s="154" t="s">
        <v>219</v>
      </c>
    </row>
    <row r="130" spans="12:13" x14ac:dyDescent="0.25">
      <c r="L130" s="154" t="s">
        <v>220</v>
      </c>
      <c r="M130" s="154" t="s">
        <v>221</v>
      </c>
    </row>
    <row r="131" spans="12:13" x14ac:dyDescent="0.25">
      <c r="L131" s="154" t="s">
        <v>222</v>
      </c>
      <c r="M131" s="154" t="s">
        <v>223</v>
      </c>
    </row>
    <row r="132" spans="12:13" x14ac:dyDescent="0.25">
      <c r="L132" s="154" t="s">
        <v>224</v>
      </c>
      <c r="M132" s="154" t="s">
        <v>225</v>
      </c>
    </row>
    <row r="133" spans="12:13" x14ac:dyDescent="0.25">
      <c r="L133" s="154" t="s">
        <v>226</v>
      </c>
      <c r="M133" s="154" t="s">
        <v>227</v>
      </c>
    </row>
    <row r="134" spans="12:13" x14ac:dyDescent="0.25">
      <c r="L134" s="154" t="s">
        <v>228</v>
      </c>
      <c r="M134" s="154" t="s">
        <v>229</v>
      </c>
    </row>
    <row r="135" spans="12:13" x14ac:dyDescent="0.25">
      <c r="L135" s="154" t="s">
        <v>230</v>
      </c>
      <c r="M135" s="154" t="s">
        <v>231</v>
      </c>
    </row>
    <row r="136" spans="12:13" x14ac:dyDescent="0.25">
      <c r="L136" s="154" t="s">
        <v>232</v>
      </c>
      <c r="M136" s="154" t="s">
        <v>233</v>
      </c>
    </row>
    <row r="137" spans="12:13" x14ac:dyDescent="0.25">
      <c r="L137" s="154" t="s">
        <v>234</v>
      </c>
      <c r="M137" s="154" t="s">
        <v>235</v>
      </c>
    </row>
    <row r="138" spans="12:13" x14ac:dyDescent="0.25">
      <c r="L138" s="154" t="s">
        <v>236</v>
      </c>
      <c r="M138" s="154" t="s">
        <v>237</v>
      </c>
    </row>
    <row r="139" spans="12:13" x14ac:dyDescent="0.25">
      <c r="L139" s="154" t="s">
        <v>238</v>
      </c>
      <c r="M139" s="154" t="s">
        <v>239</v>
      </c>
    </row>
    <row r="140" spans="12:13" x14ac:dyDescent="0.25">
      <c r="L140" s="154" t="s">
        <v>240</v>
      </c>
      <c r="M140" s="154" t="s">
        <v>241</v>
      </c>
    </row>
    <row r="141" spans="12:13" x14ac:dyDescent="0.25">
      <c r="L141" s="154" t="s">
        <v>242</v>
      </c>
      <c r="M141" s="154" t="s">
        <v>243</v>
      </c>
    </row>
    <row r="142" spans="12:13" x14ac:dyDescent="0.25">
      <c r="L142" s="154" t="s">
        <v>244</v>
      </c>
      <c r="M142" s="154" t="s">
        <v>245</v>
      </c>
    </row>
    <row r="143" spans="12:13" x14ac:dyDescent="0.25">
      <c r="L143" s="154" t="s">
        <v>246</v>
      </c>
      <c r="M143" s="154" t="s">
        <v>247</v>
      </c>
    </row>
    <row r="144" spans="12:13" x14ac:dyDescent="0.25">
      <c r="L144" s="154" t="s">
        <v>248</v>
      </c>
      <c r="M144" s="154" t="s">
        <v>249</v>
      </c>
    </row>
    <row r="145" spans="12:13" x14ac:dyDescent="0.25">
      <c r="L145" s="154" t="s">
        <v>250</v>
      </c>
      <c r="M145" s="154" t="s">
        <v>251</v>
      </c>
    </row>
    <row r="146" spans="12:13" x14ac:dyDescent="0.25">
      <c r="L146" s="154" t="s">
        <v>252</v>
      </c>
      <c r="M146" s="154" t="s">
        <v>253</v>
      </c>
    </row>
    <row r="147" spans="12:13" x14ac:dyDescent="0.25">
      <c r="L147" s="154" t="s">
        <v>254</v>
      </c>
      <c r="M147" s="154" t="s">
        <v>255</v>
      </c>
    </row>
    <row r="148" spans="12:13" x14ac:dyDescent="0.25">
      <c r="L148" s="154" t="s">
        <v>256</v>
      </c>
      <c r="M148" s="154" t="s">
        <v>257</v>
      </c>
    </row>
    <row r="149" spans="12:13" x14ac:dyDescent="0.25">
      <c r="L149" s="154" t="s">
        <v>258</v>
      </c>
      <c r="M149" s="154" t="s">
        <v>259</v>
      </c>
    </row>
    <row r="150" spans="12:13" x14ac:dyDescent="0.25">
      <c r="L150" s="154" t="s">
        <v>260</v>
      </c>
      <c r="M150" s="154" t="s">
        <v>261</v>
      </c>
    </row>
    <row r="151" spans="12:13" x14ac:dyDescent="0.25">
      <c r="L151" s="154" t="s">
        <v>262</v>
      </c>
      <c r="M151" s="154" t="s">
        <v>263</v>
      </c>
    </row>
    <row r="152" spans="12:13" x14ac:dyDescent="0.25">
      <c r="L152" s="154" t="s">
        <v>264</v>
      </c>
      <c r="M152" s="154" t="s">
        <v>265</v>
      </c>
    </row>
    <row r="153" spans="12:13" x14ac:dyDescent="0.25">
      <c r="L153" s="154" t="s">
        <v>266</v>
      </c>
      <c r="M153" s="154" t="s">
        <v>267</v>
      </c>
    </row>
    <row r="154" spans="12:13" x14ac:dyDescent="0.25">
      <c r="L154" s="154" t="s">
        <v>268</v>
      </c>
      <c r="M154" s="154" t="s">
        <v>269</v>
      </c>
    </row>
    <row r="155" spans="12:13" x14ac:dyDescent="0.25">
      <c r="L155" s="154" t="s">
        <v>270</v>
      </c>
      <c r="M155" s="154" t="s">
        <v>271</v>
      </c>
    </row>
    <row r="156" spans="12:13" x14ac:dyDescent="0.25">
      <c r="L156" s="154" t="s">
        <v>272</v>
      </c>
      <c r="M156" s="154" t="s">
        <v>273</v>
      </c>
    </row>
    <row r="157" spans="12:13" x14ac:dyDescent="0.25">
      <c r="L157" s="154" t="s">
        <v>274</v>
      </c>
      <c r="M157" s="154" t="s">
        <v>275</v>
      </c>
    </row>
    <row r="158" spans="12:13" x14ac:dyDescent="0.25">
      <c r="L158" s="154" t="s">
        <v>276</v>
      </c>
      <c r="M158" s="154" t="s">
        <v>277</v>
      </c>
    </row>
    <row r="159" spans="12:13" x14ac:dyDescent="0.25">
      <c r="L159" s="154" t="s">
        <v>278</v>
      </c>
      <c r="M159" s="154" t="s">
        <v>279</v>
      </c>
    </row>
    <row r="160" spans="12:13" x14ac:dyDescent="0.25">
      <c r="L160" s="154" t="s">
        <v>280</v>
      </c>
      <c r="M160" s="154" t="s">
        <v>281</v>
      </c>
    </row>
    <row r="161" spans="12:13" x14ac:dyDescent="0.25">
      <c r="L161" s="154" t="s">
        <v>282</v>
      </c>
      <c r="M161" s="154" t="s">
        <v>283</v>
      </c>
    </row>
    <row r="162" spans="12:13" x14ac:dyDescent="0.25">
      <c r="L162" s="154" t="s">
        <v>284</v>
      </c>
      <c r="M162" s="154" t="s">
        <v>285</v>
      </c>
    </row>
    <row r="163" spans="12:13" x14ac:dyDescent="0.25">
      <c r="L163" s="154" t="s">
        <v>286</v>
      </c>
      <c r="M163" s="154" t="s">
        <v>287</v>
      </c>
    </row>
    <row r="164" spans="12:13" x14ac:dyDescent="0.25">
      <c r="L164" s="154" t="s">
        <v>288</v>
      </c>
      <c r="M164" s="154" t="s">
        <v>289</v>
      </c>
    </row>
    <row r="165" spans="12:13" x14ac:dyDescent="0.25">
      <c r="L165" s="154" t="s">
        <v>290</v>
      </c>
      <c r="M165" s="154" t="s">
        <v>291</v>
      </c>
    </row>
    <row r="166" spans="12:13" x14ac:dyDescent="0.25">
      <c r="L166" s="154" t="s">
        <v>292</v>
      </c>
      <c r="M166" s="154" t="s">
        <v>293</v>
      </c>
    </row>
    <row r="167" spans="12:13" x14ac:dyDescent="0.25">
      <c r="L167" s="154" t="s">
        <v>294</v>
      </c>
      <c r="M167" s="154" t="s">
        <v>295</v>
      </c>
    </row>
    <row r="168" spans="12:13" x14ac:dyDescent="0.25">
      <c r="L168" s="154" t="s">
        <v>296</v>
      </c>
      <c r="M168" s="154" t="s">
        <v>297</v>
      </c>
    </row>
    <row r="169" spans="12:13" x14ac:dyDescent="0.25">
      <c r="L169" s="154" t="s">
        <v>298</v>
      </c>
      <c r="M169" s="154" t="s">
        <v>299</v>
      </c>
    </row>
    <row r="170" spans="12:13" x14ac:dyDescent="0.25">
      <c r="L170" s="154" t="s">
        <v>300</v>
      </c>
      <c r="M170" s="154" t="s">
        <v>301</v>
      </c>
    </row>
    <row r="171" spans="12:13" x14ac:dyDescent="0.25">
      <c r="L171" s="154" t="s">
        <v>302</v>
      </c>
      <c r="M171" s="154" t="s">
        <v>303</v>
      </c>
    </row>
    <row r="172" spans="12:13" x14ac:dyDescent="0.25">
      <c r="L172" s="154" t="s">
        <v>304</v>
      </c>
      <c r="M172" s="154" t="s">
        <v>305</v>
      </c>
    </row>
    <row r="173" spans="12:13" x14ac:dyDescent="0.25">
      <c r="L173" s="154" t="s">
        <v>306</v>
      </c>
      <c r="M173" s="154" t="s">
        <v>307</v>
      </c>
    </row>
    <row r="174" spans="12:13" x14ac:dyDescent="0.25">
      <c r="L174" s="154" t="s">
        <v>308</v>
      </c>
      <c r="M174" s="154" t="s">
        <v>309</v>
      </c>
    </row>
    <row r="175" spans="12:13" x14ac:dyDescent="0.25">
      <c r="L175" s="154" t="s">
        <v>310</v>
      </c>
      <c r="M175" s="154" t="s">
        <v>311</v>
      </c>
    </row>
    <row r="176" spans="12:13" x14ac:dyDescent="0.25">
      <c r="L176" s="154" t="s">
        <v>312</v>
      </c>
      <c r="M176" s="154" t="s">
        <v>313</v>
      </c>
    </row>
    <row r="177" spans="12:13" x14ac:dyDescent="0.25">
      <c r="L177" s="154" t="s">
        <v>314</v>
      </c>
      <c r="M177" s="154" t="s">
        <v>315</v>
      </c>
    </row>
    <row r="178" spans="12:13" x14ac:dyDescent="0.25">
      <c r="L178" s="154" t="s">
        <v>316</v>
      </c>
      <c r="M178" s="154" t="s">
        <v>317</v>
      </c>
    </row>
    <row r="179" spans="12:13" x14ac:dyDescent="0.25">
      <c r="L179" s="154" t="s">
        <v>318</v>
      </c>
      <c r="M179" s="154" t="s">
        <v>319</v>
      </c>
    </row>
    <row r="180" spans="12:13" x14ac:dyDescent="0.25">
      <c r="L180" s="154" t="s">
        <v>320</v>
      </c>
      <c r="M180" s="154" t="s">
        <v>321</v>
      </c>
    </row>
    <row r="181" spans="12:13" x14ac:dyDescent="0.25">
      <c r="L181" s="154" t="s">
        <v>322</v>
      </c>
      <c r="M181" s="154" t="s">
        <v>323</v>
      </c>
    </row>
    <row r="182" spans="12:13" x14ac:dyDescent="0.25">
      <c r="L182" s="154" t="s">
        <v>324</v>
      </c>
      <c r="M182" s="154" t="s">
        <v>325</v>
      </c>
    </row>
    <row r="183" spans="12:13" x14ac:dyDescent="0.25">
      <c r="L183" s="154" t="s">
        <v>326</v>
      </c>
      <c r="M183" s="154" t="s">
        <v>327</v>
      </c>
    </row>
    <row r="184" spans="12:13" x14ac:dyDescent="0.25">
      <c r="L184" s="154" t="s">
        <v>328</v>
      </c>
      <c r="M184" s="154" t="s">
        <v>329</v>
      </c>
    </row>
    <row r="185" spans="12:13" x14ac:dyDescent="0.25">
      <c r="L185" s="154" t="s">
        <v>330</v>
      </c>
      <c r="M185" s="154" t="s">
        <v>331</v>
      </c>
    </row>
    <row r="186" spans="12:13" x14ac:dyDescent="0.25">
      <c r="L186" s="154" t="s">
        <v>332</v>
      </c>
      <c r="M186" s="154" t="s">
        <v>333</v>
      </c>
    </row>
    <row r="187" spans="12:13" x14ac:dyDescent="0.25">
      <c r="L187" s="154" t="s">
        <v>334</v>
      </c>
      <c r="M187" s="154" t="s">
        <v>335</v>
      </c>
    </row>
    <row r="188" spans="12:13" x14ac:dyDescent="0.25">
      <c r="L188" s="154" t="s">
        <v>336</v>
      </c>
      <c r="M188" s="154" t="s">
        <v>337</v>
      </c>
    </row>
    <row r="189" spans="12:13" x14ac:dyDescent="0.25">
      <c r="L189" s="154" t="s">
        <v>338</v>
      </c>
      <c r="M189" s="154" t="s">
        <v>339</v>
      </c>
    </row>
    <row r="190" spans="12:13" x14ac:dyDescent="0.25">
      <c r="L190" s="154" t="s">
        <v>340</v>
      </c>
      <c r="M190" s="154" t="s">
        <v>341</v>
      </c>
    </row>
    <row r="191" spans="12:13" x14ac:dyDescent="0.25">
      <c r="L191" s="154" t="s">
        <v>342</v>
      </c>
      <c r="M191" s="154" t="s">
        <v>343</v>
      </c>
    </row>
    <row r="192" spans="12:13" x14ac:dyDescent="0.25">
      <c r="L192" s="154" t="s">
        <v>344</v>
      </c>
      <c r="M192" s="154" t="s">
        <v>345</v>
      </c>
    </row>
    <row r="193" spans="12:13" x14ac:dyDescent="0.25">
      <c r="L193" s="154" t="s">
        <v>346</v>
      </c>
      <c r="M193" s="154" t="s">
        <v>347</v>
      </c>
    </row>
    <row r="194" spans="12:13" x14ac:dyDescent="0.25">
      <c r="L194" s="154" t="s">
        <v>348</v>
      </c>
      <c r="M194" s="154" t="s">
        <v>349</v>
      </c>
    </row>
    <row r="195" spans="12:13" x14ac:dyDescent="0.25">
      <c r="L195" s="154" t="s">
        <v>350</v>
      </c>
      <c r="M195" s="154" t="s">
        <v>351</v>
      </c>
    </row>
    <row r="196" spans="12:13" x14ac:dyDescent="0.25">
      <c r="L196" s="154" t="s">
        <v>352</v>
      </c>
      <c r="M196" s="154" t="s">
        <v>353</v>
      </c>
    </row>
    <row r="197" spans="12:13" x14ac:dyDescent="0.25">
      <c r="L197" s="154" t="s">
        <v>354</v>
      </c>
      <c r="M197" s="154" t="s">
        <v>355</v>
      </c>
    </row>
    <row r="198" spans="12:13" x14ac:dyDescent="0.25">
      <c r="L198" s="154" t="s">
        <v>356</v>
      </c>
      <c r="M198" s="154" t="s">
        <v>357</v>
      </c>
    </row>
    <row r="199" spans="12:13" x14ac:dyDescent="0.25">
      <c r="L199" s="154" t="s">
        <v>358</v>
      </c>
      <c r="M199" s="154" t="s">
        <v>359</v>
      </c>
    </row>
    <row r="200" spans="12:13" x14ac:dyDescent="0.25">
      <c r="L200" s="154" t="s">
        <v>360</v>
      </c>
      <c r="M200" s="154" t="s">
        <v>361</v>
      </c>
    </row>
    <row r="201" spans="12:13" x14ac:dyDescent="0.25">
      <c r="L201" s="154" t="s">
        <v>362</v>
      </c>
      <c r="M201" s="154" t="s">
        <v>363</v>
      </c>
    </row>
    <row r="202" spans="12:13" x14ac:dyDescent="0.25">
      <c r="L202" s="154" t="s">
        <v>364</v>
      </c>
      <c r="M202" s="154" t="s">
        <v>365</v>
      </c>
    </row>
    <row r="203" spans="12:13" x14ac:dyDescent="0.25">
      <c r="L203" s="154" t="s">
        <v>366</v>
      </c>
      <c r="M203" s="154" t="s">
        <v>367</v>
      </c>
    </row>
    <row r="204" spans="12:13" x14ac:dyDescent="0.25">
      <c r="L204" s="154" t="s">
        <v>368</v>
      </c>
      <c r="M204" s="154" t="s">
        <v>369</v>
      </c>
    </row>
    <row r="205" spans="12:13" x14ac:dyDescent="0.25">
      <c r="L205" s="154" t="s">
        <v>370</v>
      </c>
      <c r="M205" s="154" t="s">
        <v>371</v>
      </c>
    </row>
    <row r="206" spans="12:13" x14ac:dyDescent="0.25">
      <c r="L206" s="154" t="s">
        <v>372</v>
      </c>
      <c r="M206" s="154" t="s">
        <v>373</v>
      </c>
    </row>
    <row r="207" spans="12:13" x14ac:dyDescent="0.25">
      <c r="L207" s="154" t="s">
        <v>374</v>
      </c>
      <c r="M207" s="154" t="s">
        <v>375</v>
      </c>
    </row>
    <row r="208" spans="12:13" x14ac:dyDescent="0.25">
      <c r="L208" s="154" t="s">
        <v>376</v>
      </c>
      <c r="M208" s="154" t="s">
        <v>377</v>
      </c>
    </row>
    <row r="209" spans="12:13" x14ac:dyDescent="0.25">
      <c r="L209" s="154" t="s">
        <v>378</v>
      </c>
      <c r="M209" s="154" t="s">
        <v>379</v>
      </c>
    </row>
    <row r="210" spans="12:13" x14ac:dyDescent="0.25">
      <c r="L210" s="154" t="s">
        <v>380</v>
      </c>
      <c r="M210" s="154" t="s">
        <v>381</v>
      </c>
    </row>
    <row r="211" spans="12:13" x14ac:dyDescent="0.25">
      <c r="L211" s="154" t="s">
        <v>382</v>
      </c>
      <c r="M211" s="154" t="s">
        <v>383</v>
      </c>
    </row>
    <row r="212" spans="12:13" x14ac:dyDescent="0.25">
      <c r="L212" s="154" t="s">
        <v>384</v>
      </c>
      <c r="M212" s="154" t="s">
        <v>385</v>
      </c>
    </row>
    <row r="213" spans="12:13" x14ac:dyDescent="0.25">
      <c r="L213" s="154" t="s">
        <v>386</v>
      </c>
      <c r="M213" s="154" t="s">
        <v>387</v>
      </c>
    </row>
    <row r="214" spans="12:13" x14ac:dyDescent="0.25">
      <c r="L214" s="154" t="s">
        <v>388</v>
      </c>
      <c r="M214" s="154" t="s">
        <v>389</v>
      </c>
    </row>
    <row r="215" spans="12:13" x14ac:dyDescent="0.25">
      <c r="L215" s="154" t="s">
        <v>390</v>
      </c>
      <c r="M215" s="154" t="s">
        <v>391</v>
      </c>
    </row>
    <row r="216" spans="12:13" x14ac:dyDescent="0.25">
      <c r="L216" s="154" t="s">
        <v>392</v>
      </c>
      <c r="M216" s="154" t="s">
        <v>393</v>
      </c>
    </row>
    <row r="217" spans="12:13" x14ac:dyDescent="0.25">
      <c r="L217" s="154" t="s">
        <v>394</v>
      </c>
      <c r="M217" s="154" t="s">
        <v>395</v>
      </c>
    </row>
    <row r="218" spans="12:13" x14ac:dyDescent="0.25">
      <c r="L218" s="154" t="s">
        <v>396</v>
      </c>
      <c r="M218" s="154" t="s">
        <v>397</v>
      </c>
    </row>
    <row r="219" spans="12:13" x14ac:dyDescent="0.25">
      <c r="L219" s="154" t="s">
        <v>398</v>
      </c>
      <c r="M219" s="154" t="s">
        <v>399</v>
      </c>
    </row>
    <row r="220" spans="12:13" x14ac:dyDescent="0.25">
      <c r="L220" s="154" t="s">
        <v>400</v>
      </c>
      <c r="M220" s="154" t="s">
        <v>401</v>
      </c>
    </row>
    <row r="221" spans="12:13" x14ac:dyDescent="0.25">
      <c r="L221" s="154" t="s">
        <v>402</v>
      </c>
      <c r="M221" s="154" t="s">
        <v>403</v>
      </c>
    </row>
    <row r="222" spans="12:13" x14ac:dyDescent="0.25">
      <c r="L222" s="154" t="s">
        <v>404</v>
      </c>
      <c r="M222" s="154" t="s">
        <v>405</v>
      </c>
    </row>
    <row r="223" spans="12:13" x14ac:dyDescent="0.25">
      <c r="L223" s="154" t="s">
        <v>406</v>
      </c>
      <c r="M223" s="154" t="s">
        <v>407</v>
      </c>
    </row>
    <row r="224" spans="12:13" x14ac:dyDescent="0.25">
      <c r="L224" s="154" t="s">
        <v>408</v>
      </c>
      <c r="M224" s="154" t="s">
        <v>409</v>
      </c>
    </row>
    <row r="225" spans="12:13" x14ac:dyDescent="0.25">
      <c r="L225" s="154" t="s">
        <v>410</v>
      </c>
      <c r="M225" s="154" t="s">
        <v>411</v>
      </c>
    </row>
    <row r="226" spans="12:13" x14ac:dyDescent="0.25">
      <c r="L226" s="154" t="s">
        <v>412</v>
      </c>
      <c r="M226" s="154" t="s">
        <v>413</v>
      </c>
    </row>
    <row r="227" spans="12:13" x14ac:dyDescent="0.25">
      <c r="L227" s="154" t="s">
        <v>414</v>
      </c>
      <c r="M227" s="154" t="s">
        <v>415</v>
      </c>
    </row>
    <row r="228" spans="12:13" x14ac:dyDescent="0.25">
      <c r="L228" s="154" t="s">
        <v>416</v>
      </c>
      <c r="M228" s="154" t="s">
        <v>417</v>
      </c>
    </row>
    <row r="229" spans="12:13" x14ac:dyDescent="0.25">
      <c r="L229" s="154" t="s">
        <v>418</v>
      </c>
      <c r="M229" s="154" t="s">
        <v>419</v>
      </c>
    </row>
    <row r="230" spans="12:13" x14ac:dyDescent="0.25">
      <c r="L230" s="154" t="s">
        <v>420</v>
      </c>
      <c r="M230" s="154" t="s">
        <v>421</v>
      </c>
    </row>
    <row r="231" spans="12:13" x14ac:dyDescent="0.25">
      <c r="L231" s="154" t="s">
        <v>422</v>
      </c>
      <c r="M231" s="154" t="s">
        <v>423</v>
      </c>
    </row>
    <row r="232" spans="12:13" x14ac:dyDescent="0.25">
      <c r="L232" s="154" t="s">
        <v>424</v>
      </c>
      <c r="M232" s="154" t="s">
        <v>425</v>
      </c>
    </row>
    <row r="233" spans="12:13" x14ac:dyDescent="0.25">
      <c r="L233" s="154" t="s">
        <v>426</v>
      </c>
      <c r="M233" s="154" t="s">
        <v>427</v>
      </c>
    </row>
    <row r="234" spans="12:13" x14ac:dyDescent="0.25">
      <c r="L234" s="154" t="s">
        <v>428</v>
      </c>
      <c r="M234" s="154" t="s">
        <v>429</v>
      </c>
    </row>
    <row r="235" spans="12:13" x14ac:dyDescent="0.25">
      <c r="L235" s="154" t="s">
        <v>430</v>
      </c>
      <c r="M235" s="154" t="s">
        <v>431</v>
      </c>
    </row>
    <row r="236" spans="12:13" x14ac:dyDescent="0.25">
      <c r="L236" s="154" t="s">
        <v>432</v>
      </c>
      <c r="M236" s="154" t="s">
        <v>433</v>
      </c>
    </row>
    <row r="237" spans="12:13" x14ac:dyDescent="0.25">
      <c r="L237" s="154" t="s">
        <v>434</v>
      </c>
      <c r="M237" s="154" t="s">
        <v>435</v>
      </c>
    </row>
    <row r="238" spans="12:13" x14ac:dyDescent="0.25">
      <c r="L238" s="154" t="s">
        <v>436</v>
      </c>
      <c r="M238" s="154" t="s">
        <v>437</v>
      </c>
    </row>
    <row r="239" spans="12:13" x14ac:dyDescent="0.25">
      <c r="L239" s="154" t="s">
        <v>438</v>
      </c>
      <c r="M239" s="154" t="s">
        <v>439</v>
      </c>
    </row>
    <row r="240" spans="12:13" x14ac:dyDescent="0.25">
      <c r="L240" s="154" t="s">
        <v>440</v>
      </c>
      <c r="M240" s="154" t="s">
        <v>441</v>
      </c>
    </row>
    <row r="241" spans="12:13" x14ac:dyDescent="0.25">
      <c r="L241" s="154" t="s">
        <v>442</v>
      </c>
      <c r="M241" s="154" t="s">
        <v>443</v>
      </c>
    </row>
    <row r="242" spans="12:13" x14ac:dyDescent="0.25">
      <c r="L242" s="154" t="s">
        <v>444</v>
      </c>
      <c r="M242" s="154" t="s">
        <v>445</v>
      </c>
    </row>
    <row r="243" spans="12:13" x14ac:dyDescent="0.25">
      <c r="L243" s="154" t="s">
        <v>446</v>
      </c>
      <c r="M243" s="154" t="s">
        <v>447</v>
      </c>
    </row>
    <row r="244" spans="12:13" x14ac:dyDescent="0.25">
      <c r="L244" s="154" t="s">
        <v>448</v>
      </c>
      <c r="M244" s="154" t="s">
        <v>449</v>
      </c>
    </row>
    <row r="245" spans="12:13" x14ac:dyDescent="0.25">
      <c r="L245" s="154" t="s">
        <v>450</v>
      </c>
      <c r="M245" s="154" t="s">
        <v>451</v>
      </c>
    </row>
    <row r="246" spans="12:13" x14ac:dyDescent="0.25">
      <c r="L246" s="154" t="s">
        <v>452</v>
      </c>
      <c r="M246" s="154" t="s">
        <v>453</v>
      </c>
    </row>
    <row r="247" spans="12:13" x14ac:dyDescent="0.25">
      <c r="L247" s="154" t="s">
        <v>454</v>
      </c>
      <c r="M247" s="154" t="s">
        <v>455</v>
      </c>
    </row>
    <row r="248" spans="12:13" x14ac:dyDescent="0.25">
      <c r="L248" s="154" t="s">
        <v>456</v>
      </c>
      <c r="M248" s="154" t="s">
        <v>457</v>
      </c>
    </row>
    <row r="249" spans="12:13" x14ac:dyDescent="0.25">
      <c r="L249" s="154" t="s">
        <v>458</v>
      </c>
      <c r="M249" s="154" t="s">
        <v>459</v>
      </c>
    </row>
    <row r="250" spans="12:13" x14ac:dyDescent="0.25">
      <c r="L250" s="154" t="s">
        <v>460</v>
      </c>
      <c r="M250" s="154" t="s">
        <v>461</v>
      </c>
    </row>
    <row r="251" spans="12:13" x14ac:dyDescent="0.25">
      <c r="L251" s="154" t="s">
        <v>462</v>
      </c>
      <c r="M251" s="154" t="s">
        <v>463</v>
      </c>
    </row>
    <row r="252" spans="12:13" x14ac:dyDescent="0.25">
      <c r="L252" s="154" t="s">
        <v>464</v>
      </c>
      <c r="M252" s="154" t="s">
        <v>465</v>
      </c>
    </row>
    <row r="253" spans="12:13" x14ac:dyDescent="0.25">
      <c r="L253" s="154" t="s">
        <v>466</v>
      </c>
      <c r="M253" s="154" t="s">
        <v>467</v>
      </c>
    </row>
    <row r="254" spans="12:13" x14ac:dyDescent="0.25">
      <c r="L254" s="154" t="s">
        <v>468</v>
      </c>
      <c r="M254" s="154" t="s">
        <v>469</v>
      </c>
    </row>
    <row r="255" spans="12:13" x14ac:dyDescent="0.25">
      <c r="L255" s="154" t="s">
        <v>470</v>
      </c>
      <c r="M255" s="154" t="s">
        <v>471</v>
      </c>
    </row>
    <row r="256" spans="12:13" x14ac:dyDescent="0.25">
      <c r="L256" s="154" t="s">
        <v>472</v>
      </c>
      <c r="M256" s="154" t="s">
        <v>473</v>
      </c>
    </row>
    <row r="257" spans="12:13" x14ac:dyDescent="0.25">
      <c r="L257" s="154" t="s">
        <v>474</v>
      </c>
      <c r="M257" s="154" t="s">
        <v>475</v>
      </c>
    </row>
    <row r="258" spans="12:13" x14ac:dyDescent="0.25">
      <c r="L258" s="154" t="s">
        <v>476</v>
      </c>
      <c r="M258" s="154" t="s">
        <v>477</v>
      </c>
    </row>
    <row r="259" spans="12:13" x14ac:dyDescent="0.25">
      <c r="L259" s="154" t="s">
        <v>478</v>
      </c>
      <c r="M259" s="154" t="s">
        <v>479</v>
      </c>
    </row>
    <row r="260" spans="12:13" x14ac:dyDescent="0.25">
      <c r="L260" s="154" t="s">
        <v>480</v>
      </c>
      <c r="M260" s="154" t="s">
        <v>481</v>
      </c>
    </row>
    <row r="261" spans="12:13" x14ac:dyDescent="0.25">
      <c r="L261" s="154" t="s">
        <v>482</v>
      </c>
      <c r="M261" s="154" t="s">
        <v>483</v>
      </c>
    </row>
    <row r="262" spans="12:13" x14ac:dyDescent="0.25">
      <c r="L262" s="154" t="s">
        <v>484</v>
      </c>
      <c r="M262" s="154" t="s">
        <v>485</v>
      </c>
    </row>
    <row r="263" spans="12:13" x14ac:dyDescent="0.25">
      <c r="L263" s="154" t="s">
        <v>486</v>
      </c>
      <c r="M263" s="154" t="s">
        <v>487</v>
      </c>
    </row>
    <row r="264" spans="12:13" x14ac:dyDescent="0.25">
      <c r="L264" s="154" t="s">
        <v>488</v>
      </c>
      <c r="M264" s="154" t="s">
        <v>489</v>
      </c>
    </row>
    <row r="265" spans="12:13" x14ac:dyDescent="0.25">
      <c r="L265" s="154" t="s">
        <v>490</v>
      </c>
      <c r="M265" s="154" t="s">
        <v>491</v>
      </c>
    </row>
    <row r="266" spans="12:13" x14ac:dyDescent="0.25">
      <c r="L266" s="154" t="s">
        <v>492</v>
      </c>
      <c r="M266" s="154" t="s">
        <v>493</v>
      </c>
    </row>
    <row r="268" spans="12:13" x14ac:dyDescent="0.25">
      <c r="L268" s="155" t="s">
        <v>499</v>
      </c>
    </row>
    <row r="269" spans="12:13" x14ac:dyDescent="0.25">
      <c r="L269" s="154" t="s">
        <v>500</v>
      </c>
    </row>
    <row r="270" spans="12:13" x14ac:dyDescent="0.25">
      <c r="L270" s="154" t="s">
        <v>501</v>
      </c>
    </row>
    <row r="271" spans="12:13" x14ac:dyDescent="0.25">
      <c r="L271" s="154" t="s">
        <v>502</v>
      </c>
    </row>
    <row r="272" spans="12:13" x14ac:dyDescent="0.25">
      <c r="L272" s="154" t="s">
        <v>503</v>
      </c>
    </row>
    <row r="273" spans="12:12" x14ac:dyDescent="0.25">
      <c r="L273" s="154" t="s">
        <v>504</v>
      </c>
    </row>
    <row r="274" spans="12:12" x14ac:dyDescent="0.25">
      <c r="L274" s="154" t="s">
        <v>505</v>
      </c>
    </row>
    <row r="275" spans="12:12" x14ac:dyDescent="0.25">
      <c r="L275" s="154" t="s">
        <v>506</v>
      </c>
    </row>
    <row r="276" spans="12:12" x14ac:dyDescent="0.25">
      <c r="L276" s="154" t="s">
        <v>507</v>
      </c>
    </row>
    <row r="277" spans="12:12" x14ac:dyDescent="0.25">
      <c r="L277" s="154" t="s">
        <v>508</v>
      </c>
    </row>
    <row r="278" spans="12:12" x14ac:dyDescent="0.25">
      <c r="L278" s="154" t="s">
        <v>509</v>
      </c>
    </row>
    <row r="279" spans="12:12" x14ac:dyDescent="0.25">
      <c r="L279" s="154" t="s">
        <v>510</v>
      </c>
    </row>
    <row r="280" spans="12:12" x14ac:dyDescent="0.25">
      <c r="L280" s="154" t="s">
        <v>511</v>
      </c>
    </row>
    <row r="281" spans="12:12" x14ac:dyDescent="0.25">
      <c r="L281" s="154" t="s">
        <v>512</v>
      </c>
    </row>
    <row r="282" spans="12:12" x14ac:dyDescent="0.25">
      <c r="L282" s="154" t="s">
        <v>513</v>
      </c>
    </row>
    <row r="283" spans="12:12" x14ac:dyDescent="0.25">
      <c r="L283" s="154" t="s">
        <v>514</v>
      </c>
    </row>
    <row r="284" spans="12:12" x14ac:dyDescent="0.25">
      <c r="L284" s="154" t="s">
        <v>515</v>
      </c>
    </row>
    <row r="285" spans="12:12" x14ac:dyDescent="0.25">
      <c r="L285" s="154" t="s">
        <v>516</v>
      </c>
    </row>
    <row r="286" spans="12:12" x14ac:dyDescent="0.25">
      <c r="L286" s="154" t="s">
        <v>517</v>
      </c>
    </row>
    <row r="287" spans="12:12" x14ac:dyDescent="0.25">
      <c r="L287" s="154" t="s">
        <v>518</v>
      </c>
    </row>
    <row r="288" spans="12:12" x14ac:dyDescent="0.25">
      <c r="L288" s="154" t="s">
        <v>519</v>
      </c>
    </row>
    <row r="289" spans="12:12" x14ac:dyDescent="0.25">
      <c r="L289" s="154" t="s">
        <v>520</v>
      </c>
    </row>
    <row r="290" spans="12:12" x14ac:dyDescent="0.25">
      <c r="L290" s="154" t="s">
        <v>521</v>
      </c>
    </row>
    <row r="291" spans="12:12" x14ac:dyDescent="0.25">
      <c r="L291" s="154" t="s">
        <v>522</v>
      </c>
    </row>
    <row r="292" spans="12:12" x14ac:dyDescent="0.25">
      <c r="L292" s="154" t="s">
        <v>523</v>
      </c>
    </row>
    <row r="293" spans="12:12" x14ac:dyDescent="0.25">
      <c r="L293" s="154" t="s">
        <v>524</v>
      </c>
    </row>
    <row r="294" spans="12:12" x14ac:dyDescent="0.25">
      <c r="L294" s="154" t="s">
        <v>525</v>
      </c>
    </row>
    <row r="295" spans="12:12" x14ac:dyDescent="0.25">
      <c r="L295" s="154" t="s">
        <v>526</v>
      </c>
    </row>
    <row r="297" spans="12:12" x14ac:dyDescent="0.25">
      <c r="L297" s="155" t="s">
        <v>527</v>
      </c>
    </row>
    <row r="298" spans="12:12" x14ac:dyDescent="0.25">
      <c r="L298" s="154" t="s">
        <v>528</v>
      </c>
    </row>
    <row r="299" spans="12:12" x14ac:dyDescent="0.25">
      <c r="L299" s="154" t="s">
        <v>529</v>
      </c>
    </row>
    <row r="300" spans="12:12" x14ac:dyDescent="0.25">
      <c r="L300" s="154" t="s">
        <v>530</v>
      </c>
    </row>
    <row r="301" spans="12:12" x14ac:dyDescent="0.25">
      <c r="L301" s="154" t="s">
        <v>531</v>
      </c>
    </row>
    <row r="302" spans="12:12" x14ac:dyDescent="0.25">
      <c r="L302" s="154" t="s">
        <v>532</v>
      </c>
    </row>
    <row r="303" spans="12:12" x14ac:dyDescent="0.25">
      <c r="L303" s="154" t="s">
        <v>533</v>
      </c>
    </row>
    <row r="304" spans="12:12" x14ac:dyDescent="0.25">
      <c r="L304" s="154" t="s">
        <v>534</v>
      </c>
    </row>
    <row r="305" spans="12:12" x14ac:dyDescent="0.25">
      <c r="L305" s="154" t="s">
        <v>535</v>
      </c>
    </row>
    <row r="306" spans="12:12" x14ac:dyDescent="0.25">
      <c r="L306" s="154" t="s">
        <v>536</v>
      </c>
    </row>
    <row r="307" spans="12:12" x14ac:dyDescent="0.25">
      <c r="L307" s="154" t="s">
        <v>537</v>
      </c>
    </row>
    <row r="308" spans="12:12" x14ac:dyDescent="0.25">
      <c r="L308" s="154" t="s">
        <v>538</v>
      </c>
    </row>
    <row r="309" spans="12:12" x14ac:dyDescent="0.25">
      <c r="L309" s="154" t="s">
        <v>539</v>
      </c>
    </row>
    <row r="310" spans="12:12" x14ac:dyDescent="0.25">
      <c r="L310" s="154" t="s">
        <v>540</v>
      </c>
    </row>
    <row r="311" spans="12:12" x14ac:dyDescent="0.25">
      <c r="L311" s="154" t="s">
        <v>541</v>
      </c>
    </row>
    <row r="312" spans="12:12" x14ac:dyDescent="0.25">
      <c r="L312" s="154" t="s">
        <v>542</v>
      </c>
    </row>
    <row r="313" spans="12:12" x14ac:dyDescent="0.25">
      <c r="L313" s="154" t="s">
        <v>543</v>
      </c>
    </row>
    <row r="314" spans="12:12" x14ac:dyDescent="0.25">
      <c r="L314" s="154" t="s">
        <v>544</v>
      </c>
    </row>
    <row r="315" spans="12:12" x14ac:dyDescent="0.25">
      <c r="L315" s="154" t="s">
        <v>545</v>
      </c>
    </row>
    <row r="316" spans="12:12" x14ac:dyDescent="0.25">
      <c r="L316" s="154" t="s">
        <v>546</v>
      </c>
    </row>
  </sheetData>
  <sheetProtection password="E2E7" sheet="1" objects="1" scenarios="1"/>
  <mergeCells count="6">
    <mergeCell ref="C11:E11"/>
    <mergeCell ref="C20:F20"/>
    <mergeCell ref="C12:E12"/>
    <mergeCell ref="C3:F3"/>
    <mergeCell ref="C9:E9"/>
    <mergeCell ref="C10:E10"/>
  </mergeCells>
  <dataValidations disablePrompts="1" count="5">
    <dataValidation type="list" allowBlank="1" showInputMessage="1" showErrorMessage="1" sqref="F15">
      <formula1>newMet</formula1>
    </dataValidation>
    <dataValidation type="whole" allowBlank="1" showInputMessage="1" showErrorMessage="1" error="Character are not allowed in this field." sqref="F12">
      <formula1>0</formula1>
      <formula2>999999999</formula2>
    </dataValidation>
    <dataValidation type="whole" allowBlank="1" showInputMessage="1" showErrorMessage="1" error="Year must be four digit." sqref="F9">
      <formula1>1000</formula1>
      <formula2>9999</formula2>
    </dataValidation>
    <dataValidation type="decimal" allowBlank="1" showInputMessage="1" showErrorMessage="1" error="Character are not allowed in this field." sqref="F11">
      <formula1>0</formula1>
      <formula2>999999999</formula2>
    </dataValidation>
    <dataValidation type="decimal" allowBlank="1" showInputMessage="1" showErrorMessage="1" error="Character are not allowed in this field." sqref="F10">
      <formula1>0</formula1>
      <formula2>999999999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16</xdr:row>
                    <xdr:rowOff>76200</xdr:rowOff>
                  </from>
                  <to>
                    <xdr:col>3</xdr:col>
                    <xdr:colOff>561975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16</xdr:row>
                    <xdr:rowOff>76200</xdr:rowOff>
                  </from>
                  <to>
                    <xdr:col>3</xdr:col>
                    <xdr:colOff>1895475</xdr:colOff>
                    <xdr:row>16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C17" sqref="C17"/>
    </sheetView>
  </sheetViews>
  <sheetFormatPr defaultRowHeight="15" x14ac:dyDescent="0.25"/>
  <cols>
    <col min="1" max="1" width="2.42578125" style="13" customWidth="1"/>
    <col min="2" max="4" width="20.7109375" style="5" customWidth="1"/>
    <col min="5" max="5" width="3.7109375" style="5" customWidth="1"/>
    <col min="6" max="7" width="0" style="5" hidden="1" customWidth="1"/>
    <col min="8" max="10" width="9.140625" style="5" hidden="1" customWidth="1"/>
    <col min="11" max="16384" width="9.140625" style="5"/>
  </cols>
  <sheetData>
    <row r="1" spans="1:9" x14ac:dyDescent="0.25">
      <c r="A1" s="11" t="s">
        <v>613</v>
      </c>
      <c r="B1" s="11" t="str">
        <f ca="1">MID(CELL("filename",A1),FIND("]",CELL("filename",A1))+1,256)</f>
        <v>base_w</v>
      </c>
      <c r="C1" s="1"/>
      <c r="D1" s="1"/>
      <c r="E1" s="1"/>
    </row>
    <row r="2" spans="1:9" x14ac:dyDescent="0.25">
      <c r="A2" s="11" t="s">
        <v>613</v>
      </c>
      <c r="B2" s="6" t="s">
        <v>572</v>
      </c>
      <c r="C2" s="2"/>
      <c r="D2" s="39" t="str">
        <f ca="1">B1</f>
        <v>base_w</v>
      </c>
      <c r="E2" s="1"/>
    </row>
    <row r="3" spans="1:9" x14ac:dyDescent="0.25">
      <c r="A3" s="11" t="s">
        <v>613</v>
      </c>
      <c r="B3" s="7" t="s">
        <v>573</v>
      </c>
      <c r="C3" s="1"/>
      <c r="D3" s="64" t="s">
        <v>547</v>
      </c>
      <c r="E3" s="1"/>
    </row>
    <row r="4" spans="1:9" x14ac:dyDescent="0.25">
      <c r="A4" s="11" t="s">
        <v>613</v>
      </c>
      <c r="B4" s="8" t="s">
        <v>574</v>
      </c>
      <c r="C4" s="4"/>
      <c r="D4" s="39" t="s">
        <v>531</v>
      </c>
      <c r="E4" s="1"/>
    </row>
    <row r="5" spans="1:9" x14ac:dyDescent="0.25">
      <c r="A5" s="11" t="s">
        <v>613</v>
      </c>
      <c r="B5" s="1"/>
      <c r="C5" s="1"/>
      <c r="D5" s="1"/>
      <c r="E5" s="1"/>
    </row>
    <row r="6" spans="1:9" ht="24.75" customHeight="1" x14ac:dyDescent="0.25">
      <c r="A6" s="11">
        <v>10</v>
      </c>
      <c r="B6" s="9" t="s">
        <v>550</v>
      </c>
      <c r="C6" s="9" t="s">
        <v>551</v>
      </c>
      <c r="D6" s="9" t="str">
        <f>CONCATENATE("Period Consumption 
","(",D4,")")</f>
        <v>Period Consumption 
(gal)</v>
      </c>
      <c r="E6" s="1"/>
    </row>
    <row r="7" spans="1:9" x14ac:dyDescent="0.25">
      <c r="A7" s="11"/>
      <c r="B7" s="65"/>
      <c r="C7" s="65"/>
      <c r="D7" s="41"/>
      <c r="E7" s="1"/>
    </row>
    <row r="8" spans="1:9" x14ac:dyDescent="0.25">
      <c r="A8" s="36"/>
      <c r="B8" s="49"/>
      <c r="C8" s="49"/>
      <c r="D8" s="52"/>
      <c r="E8" s="27"/>
      <c r="I8" s="5" t="s">
        <v>547</v>
      </c>
    </row>
    <row r="9" spans="1:9" hidden="1" x14ac:dyDescent="0.25">
      <c r="A9" s="36"/>
      <c r="B9" s="49"/>
      <c r="C9" s="49"/>
      <c r="D9" s="52"/>
      <c r="E9" s="27"/>
    </row>
    <row r="10" spans="1:9" ht="25.5" customHeight="1" x14ac:dyDescent="0.25">
      <c r="A10" s="11" t="s">
        <v>552</v>
      </c>
      <c r="B10" s="50"/>
      <c r="C10" s="50"/>
      <c r="D10" s="50"/>
      <c r="E10" s="1"/>
    </row>
    <row r="15" spans="1:9" x14ac:dyDescent="0.25">
      <c r="H15" s="10" t="s">
        <v>531</v>
      </c>
    </row>
    <row r="16" spans="1:9" x14ac:dyDescent="0.25">
      <c r="H16" s="10" t="s">
        <v>534</v>
      </c>
    </row>
    <row r="17" spans="8:8" x14ac:dyDescent="0.25">
      <c r="H17" s="10" t="s">
        <v>553</v>
      </c>
    </row>
    <row r="18" spans="8:8" x14ac:dyDescent="0.25">
      <c r="H18" s="10" t="s">
        <v>554</v>
      </c>
    </row>
    <row r="19" spans="8:8" x14ac:dyDescent="0.25">
      <c r="H19" s="10" t="s">
        <v>528</v>
      </c>
    </row>
    <row r="20" spans="8:8" x14ac:dyDescent="0.25">
      <c r="H20" s="10" t="s">
        <v>533</v>
      </c>
    </row>
    <row r="21" spans="8:8" x14ac:dyDescent="0.25">
      <c r="H21" s="10" t="s">
        <v>548</v>
      </c>
    </row>
    <row r="22" spans="8:8" x14ac:dyDescent="0.25">
      <c r="H22" s="10" t="s">
        <v>568</v>
      </c>
    </row>
    <row r="23" spans="8:8" x14ac:dyDescent="0.25">
      <c r="H23" s="10" t="s">
        <v>530</v>
      </c>
    </row>
    <row r="24" spans="8:8" x14ac:dyDescent="0.25">
      <c r="H24" s="5" t="s">
        <v>549</v>
      </c>
    </row>
    <row r="25" spans="8:8" x14ac:dyDescent="0.25">
      <c r="H25" s="5" t="s">
        <v>569</v>
      </c>
    </row>
    <row r="26" spans="8:8" x14ac:dyDescent="0.25">
      <c r="H26" s="5" t="s">
        <v>570</v>
      </c>
    </row>
    <row r="27" spans="8:8" x14ac:dyDescent="0.25">
      <c r="H27" s="10"/>
    </row>
    <row r="28" spans="8:8" x14ac:dyDescent="0.25">
      <c r="H28" s="10"/>
    </row>
    <row r="29" spans="8:8" x14ac:dyDescent="0.25">
      <c r="H29" s="10"/>
    </row>
    <row r="30" spans="8:8" x14ac:dyDescent="0.25">
      <c r="H30" s="10"/>
    </row>
    <row r="31" spans="8:8" x14ac:dyDescent="0.25">
      <c r="H31" s="10"/>
    </row>
    <row r="32" spans="8:8" x14ac:dyDescent="0.25">
      <c r="H32" s="10"/>
    </row>
    <row r="33" spans="8:8" x14ac:dyDescent="0.25">
      <c r="H33" s="10"/>
    </row>
    <row r="34" spans="8:8" x14ac:dyDescent="0.25">
      <c r="H34" s="10"/>
    </row>
    <row r="35" spans="8:8" x14ac:dyDescent="0.25">
      <c r="H35" s="10"/>
    </row>
    <row r="36" spans="8:8" x14ac:dyDescent="0.25">
      <c r="H36" s="10"/>
    </row>
    <row r="37" spans="8:8" x14ac:dyDescent="0.25">
      <c r="H37" s="10"/>
    </row>
    <row r="38" spans="8:8" x14ac:dyDescent="0.25">
      <c r="H38" s="10"/>
    </row>
    <row r="39" spans="8:8" x14ac:dyDescent="0.25">
      <c r="H39" s="10"/>
    </row>
  </sheetData>
  <sheetProtection password="E2E7" sheet="1" objects="1" scenarios="1"/>
  <dataValidations count="5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C20" sqref="C20"/>
    </sheetView>
  </sheetViews>
  <sheetFormatPr defaultRowHeight="15" x14ac:dyDescent="0.25"/>
  <cols>
    <col min="1" max="1" width="2.42578125" style="13" customWidth="1"/>
    <col min="2" max="3" width="20.7109375" style="5" customWidth="1"/>
    <col min="4" max="4" width="20.85546875" style="5" customWidth="1"/>
    <col min="5" max="5" width="3.7109375" style="5" customWidth="1"/>
    <col min="6" max="10" width="9.140625" style="5" hidden="1" customWidth="1"/>
    <col min="11" max="11" width="0" style="5" hidden="1" customWidth="1"/>
    <col min="12" max="16384" width="9.140625" style="5"/>
  </cols>
  <sheetData>
    <row r="1" spans="1:10" ht="15" customHeight="1" x14ac:dyDescent="0.25">
      <c r="A1" s="11" t="s">
        <v>613</v>
      </c>
      <c r="B1" s="11" t="str">
        <f ca="1">MID(CELL("filename",A1),FIND("]",CELL("filename",A1))+1,256)</f>
        <v>base_e</v>
      </c>
      <c r="C1" s="1"/>
      <c r="D1" s="1"/>
      <c r="E1" s="1"/>
    </row>
    <row r="2" spans="1:10" x14ac:dyDescent="0.25">
      <c r="A2" s="11" t="s">
        <v>613</v>
      </c>
      <c r="B2" s="6" t="s">
        <v>572</v>
      </c>
      <c r="C2" s="2"/>
      <c r="D2" s="39" t="str">
        <f ca="1">B1</f>
        <v>base_e</v>
      </c>
      <c r="E2" s="1"/>
    </row>
    <row r="3" spans="1:10" x14ac:dyDescent="0.25">
      <c r="A3" s="11" t="s">
        <v>613</v>
      </c>
      <c r="B3" s="7" t="s">
        <v>573</v>
      </c>
      <c r="C3" s="1"/>
      <c r="D3" s="64" t="s">
        <v>555</v>
      </c>
      <c r="E3" s="1"/>
    </row>
    <row r="4" spans="1:10" x14ac:dyDescent="0.25">
      <c r="A4" s="11" t="s">
        <v>613</v>
      </c>
      <c r="B4" s="8" t="s">
        <v>574</v>
      </c>
      <c r="C4" s="4"/>
      <c r="D4" s="39" t="s">
        <v>536</v>
      </c>
      <c r="E4" s="1"/>
    </row>
    <row r="5" spans="1:10" x14ac:dyDescent="0.25">
      <c r="A5" s="11" t="s">
        <v>613</v>
      </c>
      <c r="B5" s="1"/>
      <c r="C5" s="1"/>
      <c r="D5" s="1"/>
      <c r="E5" s="1"/>
    </row>
    <row r="6" spans="1:10" ht="24" customHeight="1" x14ac:dyDescent="0.25">
      <c r="A6" s="11">
        <v>10</v>
      </c>
      <c r="B6" s="9" t="s">
        <v>550</v>
      </c>
      <c r="C6" s="9" t="s">
        <v>551</v>
      </c>
      <c r="D6" s="9" t="str">
        <f>CONCATENATE("Period Consumption 
","(",D4,")")</f>
        <v>Period Consumption 
(kWh)</v>
      </c>
      <c r="E6" s="1"/>
    </row>
    <row r="7" spans="1:10" x14ac:dyDescent="0.25">
      <c r="A7" s="12"/>
      <c r="B7" s="65"/>
      <c r="C7" s="65"/>
      <c r="D7" s="42"/>
      <c r="E7" s="1"/>
    </row>
    <row r="8" spans="1:10" x14ac:dyDescent="0.25">
      <c r="A8" s="36"/>
      <c r="B8" s="49"/>
      <c r="C8" s="49"/>
      <c r="D8" s="52"/>
      <c r="E8" s="1"/>
      <c r="J8" s="5" t="s">
        <v>555</v>
      </c>
    </row>
    <row r="9" spans="1:10" hidden="1" x14ac:dyDescent="0.25">
      <c r="A9" s="11"/>
      <c r="B9" s="50"/>
      <c r="C9" s="50"/>
      <c r="D9" s="50"/>
      <c r="E9" s="1"/>
    </row>
    <row r="10" spans="1:10" ht="25.5" customHeight="1" x14ac:dyDescent="0.25">
      <c r="A10" s="11" t="s">
        <v>552</v>
      </c>
      <c r="B10" s="50"/>
      <c r="C10" s="50"/>
      <c r="D10" s="50"/>
      <c r="E10" s="1"/>
    </row>
    <row r="15" spans="1:10" x14ac:dyDescent="0.25">
      <c r="G15" s="5" t="s">
        <v>536</v>
      </c>
    </row>
    <row r="16" spans="1:10" x14ac:dyDescent="0.25">
      <c r="G16" s="5" t="s">
        <v>543</v>
      </c>
    </row>
    <row r="17" spans="7:7" x14ac:dyDescent="0.25">
      <c r="G17" s="5" t="s">
        <v>558</v>
      </c>
    </row>
    <row r="18" spans="7:7" x14ac:dyDescent="0.25">
      <c r="G18" s="5" t="s">
        <v>532</v>
      </c>
    </row>
    <row r="19" spans="7:7" x14ac:dyDescent="0.25">
      <c r="G19" s="5" t="s">
        <v>556</v>
      </c>
    </row>
    <row r="21" spans="7:7" x14ac:dyDescent="0.25">
      <c r="G21" s="5" t="s">
        <v>555</v>
      </c>
    </row>
  </sheetData>
  <sheetProtection password="E2E7" sheet="1" objects="1" scenarios="1"/>
  <dataValidations count="5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3" sqref="D3"/>
    </sheetView>
  </sheetViews>
  <sheetFormatPr defaultRowHeight="15" x14ac:dyDescent="0.25"/>
  <cols>
    <col min="1" max="1" width="2.5703125" style="13" customWidth="1"/>
    <col min="2" max="2" width="20.7109375" style="5" customWidth="1"/>
    <col min="3" max="3" width="20.5703125" style="5" customWidth="1"/>
    <col min="4" max="4" width="45.140625" style="5" customWidth="1"/>
    <col min="5" max="5" width="5.7109375" style="5" customWidth="1"/>
    <col min="6" max="26" width="19.5703125" style="5" hidden="1" customWidth="1"/>
    <col min="27" max="32" width="19.5703125" style="5" customWidth="1"/>
    <col min="33" max="16384" width="9.140625" style="5"/>
  </cols>
  <sheetData>
    <row r="1" spans="1:24" ht="15" customHeight="1" x14ac:dyDescent="0.25">
      <c r="A1" s="11" t="s">
        <v>613</v>
      </c>
      <c r="B1" s="11" t="str">
        <f ca="1">MID(CELL("filename",A1),FIND("]",CELL("filename",A1))+1,256)</f>
        <v>base_f</v>
      </c>
      <c r="C1" s="1"/>
      <c r="D1" s="1"/>
      <c r="E1" s="1"/>
    </row>
    <row r="2" spans="1:24" ht="15" customHeight="1" x14ac:dyDescent="0.25">
      <c r="A2" s="11" t="s">
        <v>613</v>
      </c>
      <c r="B2" s="46" t="s">
        <v>572</v>
      </c>
      <c r="C2" s="16"/>
      <c r="D2" s="39" t="str">
        <f ca="1">B1</f>
        <v>base_f</v>
      </c>
      <c r="E2" s="1"/>
    </row>
    <row r="3" spans="1:24" ht="29.25" customHeight="1" x14ac:dyDescent="0.25">
      <c r="A3" s="11" t="s">
        <v>613</v>
      </c>
      <c r="B3" s="43" t="s">
        <v>575</v>
      </c>
      <c r="C3" s="37"/>
      <c r="D3" s="40" t="s">
        <v>519</v>
      </c>
      <c r="E3" s="1"/>
    </row>
    <row r="4" spans="1:24" ht="15.75" customHeight="1" x14ac:dyDescent="0.25">
      <c r="A4" s="11" t="s">
        <v>613</v>
      </c>
      <c r="B4" s="45" t="s">
        <v>574</v>
      </c>
      <c r="C4" s="29"/>
      <c r="D4" s="38"/>
      <c r="E4" s="1"/>
    </row>
    <row r="5" spans="1:24" ht="15" customHeight="1" x14ac:dyDescent="0.25">
      <c r="A5" s="11" t="s">
        <v>613</v>
      </c>
      <c r="B5" s="44"/>
      <c r="C5" s="17"/>
      <c r="D5" s="47"/>
      <c r="E5" s="1"/>
    </row>
    <row r="6" spans="1:24" ht="24" customHeight="1" x14ac:dyDescent="0.25">
      <c r="A6" s="11">
        <v>10</v>
      </c>
      <c r="B6" s="9" t="s">
        <v>550</v>
      </c>
      <c r="C6" s="9" t="s">
        <v>551</v>
      </c>
      <c r="D6" s="48" t="str">
        <f>CONCATENATE("Period Consumption 
","(",D4,")")</f>
        <v>Period Consumption 
()</v>
      </c>
      <c r="E6" s="3"/>
    </row>
    <row r="7" spans="1:24" x14ac:dyDescent="0.25">
      <c r="A7" s="36"/>
      <c r="B7" s="65"/>
      <c r="C7" s="65"/>
      <c r="D7" s="42"/>
      <c r="E7" s="1"/>
    </row>
    <row r="8" spans="1:24" x14ac:dyDescent="0.25">
      <c r="A8" s="36"/>
      <c r="B8" s="49"/>
      <c r="C8" s="49"/>
      <c r="D8" s="52"/>
      <c r="E8" s="27"/>
    </row>
    <row r="9" spans="1:24" hidden="1" x14ac:dyDescent="0.25">
      <c r="A9" s="11"/>
      <c r="B9" s="50"/>
      <c r="C9" s="50"/>
      <c r="D9" s="50"/>
      <c r="E9" s="1"/>
    </row>
    <row r="10" spans="1:24" ht="25.5" customHeight="1" x14ac:dyDescent="0.25">
      <c r="A10" s="11" t="s">
        <v>552</v>
      </c>
      <c r="B10" s="50"/>
      <c r="C10" s="50"/>
      <c r="D10" s="50"/>
      <c r="E10" s="1"/>
      <c r="V10" s="5" t="s">
        <v>565</v>
      </c>
    </row>
    <row r="15" spans="1:24" ht="24.75" customHeight="1" x14ac:dyDescent="0.25">
      <c r="L15" s="30"/>
      <c r="M15" s="30"/>
      <c r="N15" s="30"/>
      <c r="O15" s="30"/>
      <c r="P15" s="30"/>
      <c r="Q15" s="31"/>
      <c r="U15" s="30"/>
      <c r="V15" s="30"/>
      <c r="W15" s="30"/>
      <c r="X15" s="30"/>
    </row>
    <row r="19" spans="7:19" x14ac:dyDescent="0.25">
      <c r="G19" s="31" t="s">
        <v>519</v>
      </c>
      <c r="H19" s="5" t="s">
        <v>532</v>
      </c>
      <c r="I19" s="5" t="s">
        <v>558</v>
      </c>
      <c r="J19" s="5" t="s">
        <v>554</v>
      </c>
      <c r="K19" s="5" t="s">
        <v>528</v>
      </c>
      <c r="L19" s="5" t="s">
        <v>533</v>
      </c>
      <c r="M19" s="5" t="s">
        <v>548</v>
      </c>
      <c r="N19" s="5" t="s">
        <v>544</v>
      </c>
      <c r="O19" s="5" t="s">
        <v>530</v>
      </c>
      <c r="P19" s="5" t="s">
        <v>556</v>
      </c>
      <c r="Q19" s="5" t="s">
        <v>536</v>
      </c>
      <c r="R19" s="5" t="s">
        <v>543</v>
      </c>
    </row>
    <row r="20" spans="7:19" x14ac:dyDescent="0.25">
      <c r="G20" s="31" t="s">
        <v>521</v>
      </c>
      <c r="H20" s="5" t="s">
        <v>532</v>
      </c>
      <c r="I20" s="5" t="s">
        <v>558</v>
      </c>
      <c r="J20" s="5" t="s">
        <v>546</v>
      </c>
      <c r="K20" s="5" t="s">
        <v>556</v>
      </c>
      <c r="L20" s="5" t="s">
        <v>536</v>
      </c>
      <c r="M20" s="5" t="s">
        <v>543</v>
      </c>
      <c r="O20" s="10"/>
      <c r="P20" s="10"/>
      <c r="Q20" s="10"/>
      <c r="R20" s="10"/>
      <c r="S20" s="10"/>
    </row>
    <row r="21" spans="7:19" x14ac:dyDescent="0.25">
      <c r="G21" s="31" t="s">
        <v>520</v>
      </c>
      <c r="H21" s="5" t="s">
        <v>532</v>
      </c>
      <c r="I21" s="5" t="s">
        <v>558</v>
      </c>
      <c r="J21" s="5" t="s">
        <v>554</v>
      </c>
      <c r="K21" s="5" t="s">
        <v>533</v>
      </c>
      <c r="L21" s="5" t="s">
        <v>531</v>
      </c>
      <c r="M21" s="5" t="s">
        <v>549</v>
      </c>
      <c r="N21" s="5" t="s">
        <v>568</v>
      </c>
      <c r="O21" s="5" t="s">
        <v>556</v>
      </c>
      <c r="P21" s="5" t="s">
        <v>536</v>
      </c>
      <c r="Q21" s="5" t="s">
        <v>543</v>
      </c>
      <c r="R21" s="10"/>
      <c r="S21" s="10"/>
    </row>
    <row r="22" spans="7:19" x14ac:dyDescent="0.25">
      <c r="G22" s="31" t="s">
        <v>518</v>
      </c>
      <c r="H22" s="5" t="s">
        <v>532</v>
      </c>
      <c r="I22" s="5" t="s">
        <v>558</v>
      </c>
      <c r="J22" s="5" t="s">
        <v>554</v>
      </c>
      <c r="K22" s="5" t="s">
        <v>533</v>
      </c>
      <c r="L22" s="5" t="s">
        <v>531</v>
      </c>
      <c r="M22" s="5" t="s">
        <v>549</v>
      </c>
      <c r="N22" s="5" t="s">
        <v>568</v>
      </c>
      <c r="O22" s="5" t="s">
        <v>556</v>
      </c>
      <c r="P22" s="5" t="s">
        <v>536</v>
      </c>
      <c r="Q22" s="5" t="s">
        <v>543</v>
      </c>
      <c r="R22" s="10"/>
      <c r="S22" s="10"/>
    </row>
    <row r="23" spans="7:19" x14ac:dyDescent="0.25">
      <c r="G23" s="31" t="s">
        <v>517</v>
      </c>
      <c r="H23" s="5" t="s">
        <v>532</v>
      </c>
      <c r="I23" s="5" t="s">
        <v>558</v>
      </c>
      <c r="J23" s="5" t="s">
        <v>531</v>
      </c>
      <c r="K23" s="5" t="s">
        <v>549</v>
      </c>
      <c r="L23" s="5" t="s">
        <v>568</v>
      </c>
      <c r="M23" s="5" t="s">
        <v>556</v>
      </c>
      <c r="N23" s="5" t="s">
        <v>536</v>
      </c>
      <c r="O23" s="5" t="s">
        <v>543</v>
      </c>
      <c r="P23" s="10"/>
      <c r="Q23" s="10"/>
      <c r="R23" s="10"/>
      <c r="S23" s="10"/>
    </row>
    <row r="24" spans="7:19" x14ac:dyDescent="0.25">
      <c r="G24" s="31" t="s">
        <v>513</v>
      </c>
      <c r="H24" s="5" t="s">
        <v>532</v>
      </c>
      <c r="I24" s="5" t="s">
        <v>558</v>
      </c>
      <c r="J24" s="5" t="s">
        <v>531</v>
      </c>
      <c r="K24" s="5" t="s">
        <v>549</v>
      </c>
      <c r="L24" s="5" t="s">
        <v>568</v>
      </c>
      <c r="M24" s="5" t="s">
        <v>556</v>
      </c>
      <c r="N24" s="5" t="s">
        <v>536</v>
      </c>
      <c r="O24" s="5" t="s">
        <v>543</v>
      </c>
      <c r="P24" s="10"/>
      <c r="Q24" s="10"/>
      <c r="R24" s="10"/>
      <c r="S24" s="10"/>
    </row>
    <row r="25" spans="7:19" x14ac:dyDescent="0.25">
      <c r="G25" s="31" t="s">
        <v>514</v>
      </c>
      <c r="H25" s="5" t="s">
        <v>532</v>
      </c>
      <c r="I25" s="5" t="s">
        <v>558</v>
      </c>
      <c r="J25" s="5" t="s">
        <v>531</v>
      </c>
      <c r="K25" s="5" t="s">
        <v>549</v>
      </c>
      <c r="L25" s="5" t="s">
        <v>568</v>
      </c>
      <c r="M25" s="5" t="s">
        <v>556</v>
      </c>
      <c r="N25" s="5" t="s">
        <v>536</v>
      </c>
      <c r="O25" s="5" t="s">
        <v>543</v>
      </c>
      <c r="P25" s="10"/>
      <c r="Q25" s="10"/>
      <c r="R25" s="10"/>
      <c r="S25" s="10"/>
    </row>
    <row r="26" spans="7:19" x14ac:dyDescent="0.25">
      <c r="G26" s="31" t="s">
        <v>515</v>
      </c>
      <c r="H26" s="5" t="s">
        <v>532</v>
      </c>
      <c r="I26" s="5" t="s">
        <v>558</v>
      </c>
      <c r="J26" s="5" t="s">
        <v>531</v>
      </c>
      <c r="K26" s="5" t="s">
        <v>549</v>
      </c>
      <c r="L26" s="5" t="s">
        <v>568</v>
      </c>
      <c r="M26" s="5" t="s">
        <v>556</v>
      </c>
      <c r="N26" s="5" t="s">
        <v>536</v>
      </c>
      <c r="O26" s="5" t="s">
        <v>543</v>
      </c>
      <c r="P26" s="10"/>
      <c r="Q26" s="10"/>
      <c r="R26" s="10"/>
      <c r="S26" s="10"/>
    </row>
    <row r="27" spans="7:19" x14ac:dyDescent="0.25">
      <c r="G27" s="31" t="s">
        <v>583</v>
      </c>
      <c r="H27" s="5" t="s">
        <v>532</v>
      </c>
      <c r="I27" s="5" t="s">
        <v>558</v>
      </c>
      <c r="J27" s="5" t="s">
        <v>531</v>
      </c>
      <c r="K27" s="5" t="s">
        <v>549</v>
      </c>
      <c r="L27" s="5" t="s">
        <v>568</v>
      </c>
      <c r="M27" s="5" t="s">
        <v>556</v>
      </c>
      <c r="N27" s="5" t="s">
        <v>536</v>
      </c>
      <c r="O27" s="5" t="s">
        <v>543</v>
      </c>
      <c r="P27" s="10"/>
      <c r="Q27" s="10"/>
      <c r="R27" s="10"/>
      <c r="S27" s="10"/>
    </row>
    <row r="28" spans="7:19" x14ac:dyDescent="0.25">
      <c r="G28" s="31" t="s">
        <v>500</v>
      </c>
      <c r="H28" s="5" t="s">
        <v>532</v>
      </c>
      <c r="I28" s="5" t="s">
        <v>558</v>
      </c>
      <c r="J28" s="5" t="s">
        <v>546</v>
      </c>
      <c r="K28" s="5" t="s">
        <v>559</v>
      </c>
      <c r="L28" s="5" t="s">
        <v>586</v>
      </c>
      <c r="M28" s="5" t="s">
        <v>560</v>
      </c>
      <c r="N28" s="5" t="s">
        <v>556</v>
      </c>
      <c r="O28" s="5" t="s">
        <v>536</v>
      </c>
      <c r="P28" s="5" t="s">
        <v>543</v>
      </c>
      <c r="R28" s="10"/>
      <c r="S28" s="10"/>
    </row>
    <row r="29" spans="7:19" x14ac:dyDescent="0.25">
      <c r="G29" s="31" t="s">
        <v>501</v>
      </c>
      <c r="H29" s="5" t="s">
        <v>532</v>
      </c>
      <c r="I29" s="5" t="s">
        <v>558</v>
      </c>
      <c r="J29" s="5" t="s">
        <v>546</v>
      </c>
      <c r="K29" s="5" t="s">
        <v>559</v>
      </c>
      <c r="L29" s="5" t="s">
        <v>586</v>
      </c>
      <c r="M29" s="5" t="s">
        <v>560</v>
      </c>
      <c r="N29" s="5" t="s">
        <v>556</v>
      </c>
      <c r="O29" s="5" t="s">
        <v>536</v>
      </c>
      <c r="P29" s="5" t="s">
        <v>543</v>
      </c>
      <c r="R29" s="10"/>
      <c r="S29" s="10"/>
    </row>
    <row r="30" spans="7:19" x14ac:dyDescent="0.25">
      <c r="G30" s="31" t="s">
        <v>502</v>
      </c>
      <c r="H30" s="5" t="s">
        <v>532</v>
      </c>
      <c r="I30" s="5" t="s">
        <v>558</v>
      </c>
      <c r="J30" s="5" t="s">
        <v>546</v>
      </c>
      <c r="K30" s="5" t="s">
        <v>559</v>
      </c>
      <c r="L30" s="5" t="s">
        <v>586</v>
      </c>
      <c r="M30" s="5" t="s">
        <v>560</v>
      </c>
      <c r="N30" s="5" t="s">
        <v>556</v>
      </c>
      <c r="O30" s="5" t="s">
        <v>536</v>
      </c>
      <c r="P30" s="5" t="s">
        <v>543</v>
      </c>
      <c r="R30" s="10"/>
      <c r="S30" s="10"/>
    </row>
    <row r="31" spans="7:19" x14ac:dyDescent="0.25">
      <c r="G31" s="31" t="s">
        <v>503</v>
      </c>
      <c r="H31" s="5" t="s">
        <v>532</v>
      </c>
      <c r="I31" s="5" t="s">
        <v>558</v>
      </c>
      <c r="J31" s="5" t="s">
        <v>531</v>
      </c>
      <c r="K31" s="5" t="s">
        <v>549</v>
      </c>
      <c r="L31" s="5" t="s">
        <v>568</v>
      </c>
      <c r="M31" s="5" t="s">
        <v>556</v>
      </c>
      <c r="N31" s="5" t="s">
        <v>536</v>
      </c>
      <c r="O31" s="5" t="s">
        <v>543</v>
      </c>
      <c r="P31" s="10"/>
      <c r="Q31" s="10"/>
      <c r="R31" s="10"/>
      <c r="S31" s="10"/>
    </row>
    <row r="32" spans="7:19" x14ac:dyDescent="0.25">
      <c r="G32" s="31" t="s">
        <v>509</v>
      </c>
      <c r="H32" s="5" t="s">
        <v>532</v>
      </c>
      <c r="I32" s="5" t="s">
        <v>558</v>
      </c>
      <c r="J32" s="5" t="s">
        <v>559</v>
      </c>
      <c r="K32" s="5" t="s">
        <v>586</v>
      </c>
      <c r="L32" s="5" t="s">
        <v>560</v>
      </c>
      <c r="M32" s="5" t="s">
        <v>544</v>
      </c>
      <c r="N32" s="5" t="s">
        <v>556</v>
      </c>
      <c r="O32" s="5" t="s">
        <v>561</v>
      </c>
      <c r="P32" s="5" t="s">
        <v>536</v>
      </c>
      <c r="Q32" s="5" t="s">
        <v>543</v>
      </c>
      <c r="R32" s="10"/>
      <c r="S32" s="10"/>
    </row>
    <row r="33" spans="7:19" x14ac:dyDescent="0.25">
      <c r="G33" s="31" t="s">
        <v>508</v>
      </c>
      <c r="H33" s="5" t="s">
        <v>532</v>
      </c>
      <c r="I33" s="5" t="s">
        <v>558</v>
      </c>
      <c r="J33" s="5" t="s">
        <v>544</v>
      </c>
      <c r="K33" s="5" t="s">
        <v>556</v>
      </c>
      <c r="L33" s="5" t="s">
        <v>536</v>
      </c>
      <c r="M33" s="5" t="s">
        <v>543</v>
      </c>
      <c r="N33" s="10"/>
      <c r="O33" s="10"/>
      <c r="P33" s="10"/>
      <c r="Q33" s="10"/>
      <c r="R33" s="10"/>
      <c r="S33" s="10"/>
    </row>
    <row r="34" spans="7:19" x14ac:dyDescent="0.25">
      <c r="G34" s="31" t="s">
        <v>584</v>
      </c>
      <c r="H34" s="5" t="s">
        <v>532</v>
      </c>
      <c r="I34" s="5" t="s">
        <v>558</v>
      </c>
      <c r="J34" s="5" t="s">
        <v>545</v>
      </c>
      <c r="K34" s="5" t="s">
        <v>556</v>
      </c>
      <c r="L34" s="5" t="s">
        <v>536</v>
      </c>
      <c r="M34" s="5" t="s">
        <v>543</v>
      </c>
      <c r="N34" s="10"/>
      <c r="O34" s="10"/>
      <c r="P34" s="10"/>
      <c r="Q34" s="10"/>
      <c r="R34" s="10"/>
      <c r="S34" s="10"/>
    </row>
    <row r="35" spans="7:19" x14ac:dyDescent="0.25">
      <c r="G35" s="31" t="s">
        <v>557</v>
      </c>
      <c r="H35" s="5" t="s">
        <v>532</v>
      </c>
      <c r="I35" s="5" t="s">
        <v>558</v>
      </c>
      <c r="J35" s="5" t="s">
        <v>545</v>
      </c>
      <c r="K35" s="5" t="s">
        <v>556</v>
      </c>
      <c r="L35" s="5" t="s">
        <v>536</v>
      </c>
      <c r="M35" s="5" t="s">
        <v>543</v>
      </c>
      <c r="N35" s="10"/>
      <c r="O35" s="10"/>
      <c r="P35" s="10"/>
      <c r="Q35" s="10"/>
      <c r="R35" s="10"/>
      <c r="S35" s="10"/>
    </row>
    <row r="36" spans="7:19" x14ac:dyDescent="0.25">
      <c r="G36" s="31" t="s">
        <v>585</v>
      </c>
      <c r="H36" s="5" t="s">
        <v>532</v>
      </c>
      <c r="I36" s="5" t="s">
        <v>558</v>
      </c>
      <c r="J36" s="5" t="s">
        <v>545</v>
      </c>
      <c r="K36" s="5" t="s">
        <v>556</v>
      </c>
      <c r="L36" s="5" t="s">
        <v>536</v>
      </c>
      <c r="M36" s="5" t="s">
        <v>543</v>
      </c>
      <c r="N36" s="10"/>
      <c r="O36" s="10"/>
      <c r="P36" s="10"/>
      <c r="Q36" s="10"/>
      <c r="R36" s="10"/>
      <c r="S36" s="10"/>
    </row>
    <row r="37" spans="7:19" x14ac:dyDescent="0.25"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</sheetData>
  <sheetProtection password="E2E7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type="list" allowBlank="1" showInputMessage="1" showErrorMessage="1" sqref="D5">
      <formula1>INDIRECT(D3)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0"/>
  <sheetViews>
    <sheetView zoomScaleNormal="100" workbookViewId="0">
      <selection activeCell="C7" sqref="C7"/>
    </sheetView>
  </sheetViews>
  <sheetFormatPr defaultRowHeight="15" x14ac:dyDescent="0.25"/>
  <cols>
    <col min="1" max="1" width="2.7109375" style="13" customWidth="1"/>
    <col min="2" max="4" width="20.7109375" style="5" customWidth="1"/>
    <col min="5" max="5" width="3.7109375" style="5" customWidth="1"/>
    <col min="6" max="16384" width="9.140625" style="5"/>
  </cols>
  <sheetData>
    <row r="1" spans="1:6" x14ac:dyDescent="0.25">
      <c r="A1" s="11" t="s">
        <v>613</v>
      </c>
      <c r="B1" s="1"/>
      <c r="C1" s="1"/>
      <c r="D1" s="1"/>
      <c r="E1" s="1"/>
    </row>
    <row r="2" spans="1:6" x14ac:dyDescent="0.25">
      <c r="A2" s="11" t="s">
        <v>613</v>
      </c>
      <c r="B2" s="194" t="s">
        <v>572</v>
      </c>
      <c r="C2" s="195"/>
      <c r="D2" s="58" t="s">
        <v>615</v>
      </c>
      <c r="E2" s="1"/>
    </row>
    <row r="3" spans="1:6" x14ac:dyDescent="0.25">
      <c r="A3" s="11" t="s">
        <v>613</v>
      </c>
      <c r="B3" s="192" t="s">
        <v>573</v>
      </c>
      <c r="C3" s="193"/>
      <c r="D3" s="58" t="s">
        <v>564</v>
      </c>
      <c r="E3" s="1"/>
    </row>
    <row r="4" spans="1:6" ht="15" customHeight="1" x14ac:dyDescent="0.25">
      <c r="A4" s="11" t="s">
        <v>613</v>
      </c>
      <c r="B4" s="66" t="s">
        <v>574</v>
      </c>
      <c r="C4" s="35"/>
      <c r="D4" s="58" t="s">
        <v>587</v>
      </c>
      <c r="E4" s="1"/>
    </row>
    <row r="5" spans="1:6" x14ac:dyDescent="0.25">
      <c r="A5" s="11" t="s">
        <v>613</v>
      </c>
      <c r="B5" s="1"/>
      <c r="C5" s="1"/>
      <c r="D5" s="1"/>
      <c r="E5" s="1"/>
    </row>
    <row r="6" spans="1:6" ht="48" customHeight="1" x14ac:dyDescent="0.25">
      <c r="A6" s="11">
        <v>10</v>
      </c>
      <c r="B6" s="9" t="s">
        <v>550</v>
      </c>
      <c r="C6" s="9" t="s">
        <v>551</v>
      </c>
      <c r="D6" s="9" t="str">
        <f>CONCATENATE("Average 95th Percentile 
CO2 Reading 
","(",D4,")")</f>
        <v>Average 95th Percentile 
CO2 Reading 
(ppm)</v>
      </c>
      <c r="E6" s="1"/>
      <c r="F6" s="67"/>
    </row>
    <row r="7" spans="1:6" x14ac:dyDescent="0.25">
      <c r="A7" s="36"/>
      <c r="B7" s="65"/>
      <c r="C7" s="65"/>
      <c r="D7" s="102"/>
      <c r="E7" s="138"/>
    </row>
    <row r="8" spans="1:6" x14ac:dyDescent="0.25">
      <c r="A8" s="11" t="s">
        <v>552</v>
      </c>
      <c r="B8" s="61"/>
      <c r="C8" s="61"/>
      <c r="D8" s="61"/>
      <c r="E8" s="61"/>
    </row>
    <row r="9" spans="1:6" hidden="1" x14ac:dyDescent="0.25">
      <c r="A9" s="11"/>
      <c r="B9" s="61"/>
      <c r="C9" s="61"/>
      <c r="D9" s="61"/>
      <c r="E9" s="61"/>
    </row>
    <row r="10" spans="1:6" ht="64.5" customHeight="1" x14ac:dyDescent="0.25">
      <c r="A10" s="11" t="s">
        <v>552</v>
      </c>
      <c r="B10" s="50"/>
      <c r="C10" s="50"/>
      <c r="D10" s="50"/>
      <c r="E10" s="1"/>
    </row>
  </sheetData>
  <sheetProtection password="E2E7" sheet="1" objects="1" scenarios="1"/>
  <mergeCells count="2">
    <mergeCell ref="B3:C3"/>
    <mergeCell ref="B2:C2"/>
  </mergeCells>
  <dataValidations count="3">
    <dataValidation type="whole" allowBlank="1" showInputMessage="1" showErrorMessage="1" sqref="A6">
      <formula1>0</formula1>
      <formula2>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decimal" allowBlank="1" showInputMessage="1" showErrorMessage="1" error="Please enter a valid reading." sqref="D7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utton7_Click">
                <anchor moveWithCells="1">
                  <from>
                    <xdr:col>1</xdr:col>
                    <xdr:colOff>9525</xdr:colOff>
                    <xdr:row>9</xdr:row>
                    <xdr:rowOff>38100</xdr:rowOff>
                  </from>
                  <to>
                    <xdr:col>1</xdr:col>
                    <xdr:colOff>1266825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Button13_Click">
                <anchor moveWithCells="1">
                  <from>
                    <xdr:col>2</xdr:col>
                    <xdr:colOff>9525</xdr:colOff>
                    <xdr:row>9</xdr:row>
                    <xdr:rowOff>38100</xdr:rowOff>
                  </from>
                  <to>
                    <xdr:col>2</xdr:col>
                    <xdr:colOff>1266825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9</xdr:row>
                    <xdr:rowOff>400050</xdr:rowOff>
                  </from>
                  <to>
                    <xdr:col>2</xdr:col>
                    <xdr:colOff>447675</xdr:colOff>
                    <xdr:row>9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9</xdr:row>
                    <xdr:rowOff>400050</xdr:rowOff>
                  </from>
                  <to>
                    <xdr:col>3</xdr:col>
                    <xdr:colOff>981075</xdr:colOff>
                    <xdr:row>9</xdr:row>
                    <xdr:rowOff>676275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24"/>
  <sheetViews>
    <sheetView showGridLines="0" zoomScale="90" zoomScaleNormal="90" workbookViewId="0">
      <pane ySplit="2" topLeftCell="A3" activePane="bottomLeft" state="frozen"/>
      <selection pane="bottomLeft" activeCell="J7" sqref="J7"/>
    </sheetView>
  </sheetViews>
  <sheetFormatPr defaultColWidth="14.7109375" defaultRowHeight="12.75" x14ac:dyDescent="0.25"/>
  <cols>
    <col min="1" max="1" width="4.28515625" style="103" customWidth="1"/>
    <col min="2" max="2" width="18.7109375" style="105" customWidth="1"/>
    <col min="3" max="16384" width="14.7109375" style="105"/>
  </cols>
  <sheetData>
    <row r="1" spans="1:7" ht="36" customHeight="1" x14ac:dyDescent="0.25">
      <c r="A1" s="103" t="s">
        <v>613</v>
      </c>
      <c r="B1" s="104" t="s">
        <v>595</v>
      </c>
    </row>
    <row r="2" spans="1:7" ht="33.75" customHeight="1" x14ac:dyDescent="0.25">
      <c r="A2" s="103" t="s">
        <v>613</v>
      </c>
      <c r="B2" s="106" t="s">
        <v>588</v>
      </c>
      <c r="C2" s="107" t="s">
        <v>589</v>
      </c>
      <c r="D2" s="108" t="s">
        <v>590</v>
      </c>
      <c r="E2" s="109" t="s">
        <v>591</v>
      </c>
      <c r="F2" s="110" t="s">
        <v>602</v>
      </c>
    </row>
    <row r="3" spans="1:7" x14ac:dyDescent="0.25">
      <c r="B3" s="141"/>
      <c r="C3" s="182"/>
      <c r="D3" s="171"/>
      <c r="E3" s="180"/>
      <c r="F3" s="172"/>
    </row>
    <row r="4" spans="1:7" x14ac:dyDescent="0.25">
      <c r="B4" s="141"/>
      <c r="C4" s="182"/>
      <c r="D4" s="171"/>
      <c r="E4" s="180"/>
      <c r="F4" s="172"/>
    </row>
    <row r="5" spans="1:7" ht="39" customHeight="1" x14ac:dyDescent="0.25"/>
    <row r="6" spans="1:7" s="111" customFormat="1" ht="51" customHeight="1" x14ac:dyDescent="0.2">
      <c r="A6" s="103" t="s">
        <v>600</v>
      </c>
      <c r="B6" s="104" t="s">
        <v>593</v>
      </c>
      <c r="F6" s="112"/>
      <c r="G6" s="113">
        <f>IF(G8="",1,0)</f>
        <v>1</v>
      </c>
    </row>
    <row r="7" spans="1:7" ht="21" customHeight="1" x14ac:dyDescent="0.25">
      <c r="A7" s="103" t="s">
        <v>613</v>
      </c>
      <c r="B7" s="196" t="s">
        <v>588</v>
      </c>
      <c r="C7" s="114"/>
      <c r="D7" s="114"/>
      <c r="E7" s="114"/>
      <c r="F7" s="115"/>
      <c r="G7" s="116" t="s">
        <v>590</v>
      </c>
    </row>
    <row r="8" spans="1:7" ht="15" customHeight="1" x14ac:dyDescent="0.25">
      <c r="A8" s="103" t="s">
        <v>613</v>
      </c>
      <c r="B8" s="197"/>
      <c r="C8" s="117"/>
      <c r="D8" s="117"/>
      <c r="E8" s="117"/>
      <c r="F8" s="118"/>
      <c r="G8" s="119" t="str">
        <f t="array" ref="G8">IFERROR(INDEX($D$3:$D$5, MATCH(0,IF(ISBLANK($D$3:$D$5),1,COUNTIF($F8:F8, $D$3:$D$5)), 0)),"")</f>
        <v/>
      </c>
    </row>
    <row r="9" spans="1:7" ht="27.75" customHeight="1" x14ac:dyDescent="0.25">
      <c r="A9" s="103" t="s">
        <v>613</v>
      </c>
      <c r="B9" s="198"/>
      <c r="C9" s="120"/>
      <c r="D9" s="120"/>
      <c r="E9" s="120"/>
      <c r="F9" s="121"/>
      <c r="G9" s="122" t="s">
        <v>601</v>
      </c>
    </row>
    <row r="10" spans="1:7" ht="15" customHeight="1" x14ac:dyDescent="0.25">
      <c r="A10" s="103">
        <f>IF(B10="",1,0)</f>
        <v>1</v>
      </c>
      <c r="B10" s="123" t="str">
        <f t="array" ref="B10">IFERROR(INDEX($B$3:$B$5, MATCH(0,IF(ISBLANK($B$3:$B$5),1,COUNTIF($B$9:B9, $B$3:$B$5)), 0)),"")</f>
        <v/>
      </c>
      <c r="C10" s="124"/>
      <c r="D10" s="124"/>
      <c r="E10" s="124"/>
      <c r="F10" s="125"/>
      <c r="G10" s="173" t="str">
        <f t="array" ref="G10">IFERROR(PERCENTILE(IF($B$3:$B$5=$B10,IF($D$3:$D$5=G$8,IF($F$3:$F$5&lt;&gt;"",$F$3:$F$5))),0.95),"")</f>
        <v/>
      </c>
    </row>
    <row r="11" spans="1:7" ht="15" customHeight="1" x14ac:dyDescent="0.25">
      <c r="A11" s="103">
        <f t="shared" ref="A11" si="0">IF(B11="",1,0)</f>
        <v>1</v>
      </c>
      <c r="B11" s="123" t="str">
        <f t="array" ref="B11">IFERROR(INDEX($B$3:$B$5, MATCH(0,IF(ISBLANK($B$3:$B$5),1,COUNTIF($B$9:B10, $B$3:$B$5)), 0)),"")</f>
        <v/>
      </c>
      <c r="C11" s="124"/>
      <c r="D11" s="124"/>
      <c r="E11" s="124"/>
      <c r="F11" s="125"/>
      <c r="G11" s="173" t="str">
        <f t="array" ref="G11">IFERROR(PERCENTILE(IF($B$3:$B$5=$B11,IF($D$3:$D$5=G$8,IF($F$3:$F$5&lt;&gt;"",$F$3:$F$5))),0.95),"")</f>
        <v/>
      </c>
    </row>
    <row r="12" spans="1:7" ht="9" customHeight="1" x14ac:dyDescent="0.25">
      <c r="G12" s="174"/>
    </row>
    <row r="13" spans="1:7" ht="9" customHeight="1" x14ac:dyDescent="0.25">
      <c r="A13" s="103" t="s">
        <v>552</v>
      </c>
      <c r="G13" s="174"/>
    </row>
    <row r="14" spans="1:7" ht="15" hidden="1" customHeight="1" x14ac:dyDescent="0.25">
      <c r="G14" s="126" t="str">
        <f>G8</f>
        <v/>
      </c>
    </row>
    <row r="15" spans="1:7" ht="20.25" customHeight="1" x14ac:dyDescent="0.25">
      <c r="B15" s="127" t="s">
        <v>594</v>
      </c>
      <c r="C15" s="128"/>
      <c r="D15" s="128"/>
      <c r="E15" s="128"/>
      <c r="F15" s="129"/>
      <c r="G15" s="175">
        <f>IFERROR(AVERAGE(G10:G13),0)</f>
        <v>0</v>
      </c>
    </row>
    <row r="16" spans="1:7" ht="24.75" customHeight="1" x14ac:dyDescent="0.25"/>
    <row r="17" spans="1:5" ht="28.5" hidden="1" customHeight="1" x14ac:dyDescent="0.25">
      <c r="A17" s="103">
        <v>10</v>
      </c>
      <c r="B17" s="130" t="s">
        <v>596</v>
      </c>
      <c r="C17" s="130" t="s">
        <v>597</v>
      </c>
      <c r="D17" s="130" t="s">
        <v>598</v>
      </c>
      <c r="E17" s="131"/>
    </row>
    <row r="18" spans="1:5" ht="15" hidden="1" customHeight="1" x14ac:dyDescent="0.25">
      <c r="A18" s="132">
        <f>IFERROR(IF(D18="",1,0),1)</f>
        <v>0</v>
      </c>
      <c r="B18" s="133" t="str">
        <f>INDEX(Dates,1,E18)</f>
        <v/>
      </c>
      <c r="C18" s="133" t="str">
        <f t="shared" ref="C18" si="1">B18</f>
        <v/>
      </c>
      <c r="D18" s="134">
        <f>HLOOKUP(B18,ReadingTable,2,FALSE)</f>
        <v>0</v>
      </c>
      <c r="E18" s="135">
        <f>IF(E17="",7,E17+1)</f>
        <v>7</v>
      </c>
    </row>
    <row r="19" spans="1:5" hidden="1" x14ac:dyDescent="0.25"/>
    <row r="20" spans="1:5" ht="24" hidden="1" x14ac:dyDescent="0.25">
      <c r="B20" s="136" t="s">
        <v>592</v>
      </c>
      <c r="C20" s="136" t="s">
        <v>599</v>
      </c>
    </row>
    <row r="21" spans="1:5" hidden="1" x14ac:dyDescent="0.25">
      <c r="B21" s="137">
        <f t="array" ref="B21">SUM(IF($D$3:$D$5&lt;&gt;"",1/COUNTIF($D$3:$D$5, $D$3:$D$5), 0))</f>
        <v>0</v>
      </c>
      <c r="C21" s="137">
        <f t="array" ref="C21">SUM(IF($B$3:$B$5&lt;&gt;"",1/COUNTIF($B$3:$B$5, $B$3:$B$5), 0))</f>
        <v>0</v>
      </c>
    </row>
    <row r="22" spans="1:5" hidden="1" x14ac:dyDescent="0.25"/>
    <row r="23" spans="1:5" ht="25.5" hidden="1" x14ac:dyDescent="0.25">
      <c r="B23" s="130" t="s">
        <v>604</v>
      </c>
    </row>
    <row r="24" spans="1:5" ht="15" hidden="1" x14ac:dyDescent="0.25">
      <c r="A24" s="36"/>
      <c r="B24" s="65"/>
      <c r="C24" s="65"/>
      <c r="D24" s="102"/>
      <c r="E24" s="138"/>
    </row>
  </sheetData>
  <sheetProtection password="E2E7" sheet="1" objects="1" scenarios="1"/>
  <autoFilter ref="B2:F4"/>
  <mergeCells count="1">
    <mergeCell ref="B7:B9"/>
  </mergeCells>
  <dataValidations count="4">
    <dataValidation type="decimal" allowBlank="1" showInputMessage="1" showErrorMessage="1" error="Please enter a valid reading." sqref="D24">
      <formula1>0</formula1>
      <formula2>99999999</formula2>
    </dataValidation>
    <dataValidation type="date" allowBlank="1" showInputMessage="1" showErrorMessage="1" error="Please enter a valid date in mm/dd/yyyy format." sqref="B24:C24">
      <formula1>1</formula1>
      <formula2>73051</formula2>
    </dataValidation>
    <dataValidation type="date" allowBlank="1" showInputMessage="1" showErrorMessage="1" error="Please enter a valid date in mm/dd/yyyy format." sqref="D3:D4">
      <formula1>1</formula1>
      <formula2>2958464</formula2>
    </dataValidation>
    <dataValidation type="time" allowBlank="1" showInputMessage="1" showErrorMessage="1" error="Please enter a valid time in hh:mm format." sqref="E3:E4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10"/>
  <sheetViews>
    <sheetView zoomScaleNormal="100" workbookViewId="0">
      <selection activeCell="F12" sqref="F12"/>
    </sheetView>
  </sheetViews>
  <sheetFormatPr defaultRowHeight="15" x14ac:dyDescent="0.25"/>
  <cols>
    <col min="1" max="1" width="2.42578125" style="13" customWidth="1"/>
    <col min="2" max="4" width="20.7109375" style="62" customWidth="1"/>
    <col min="5" max="5" width="3.7109375" style="62" customWidth="1"/>
    <col min="6" max="16384" width="9.140625" style="62"/>
  </cols>
  <sheetData>
    <row r="1" spans="1:5" x14ac:dyDescent="0.25">
      <c r="A1" s="11" t="s">
        <v>613</v>
      </c>
      <c r="B1" s="61"/>
      <c r="C1" s="61"/>
      <c r="D1" s="61"/>
      <c r="E1" s="61"/>
    </row>
    <row r="2" spans="1:5" x14ac:dyDescent="0.25">
      <c r="A2" s="11" t="s">
        <v>613</v>
      </c>
      <c r="B2" s="194" t="s">
        <v>572</v>
      </c>
      <c r="C2" s="195"/>
      <c r="D2" s="57" t="s">
        <v>616</v>
      </c>
      <c r="E2" s="61"/>
    </row>
    <row r="3" spans="1:5" x14ac:dyDescent="0.25">
      <c r="A3" s="11" t="s">
        <v>613</v>
      </c>
      <c r="B3" s="192" t="s">
        <v>573</v>
      </c>
      <c r="C3" s="193"/>
      <c r="D3" s="57" t="s">
        <v>563</v>
      </c>
      <c r="E3" s="61"/>
    </row>
    <row r="4" spans="1:5" x14ac:dyDescent="0.25">
      <c r="A4" s="11" t="s">
        <v>613</v>
      </c>
      <c r="B4" s="60" t="s">
        <v>574</v>
      </c>
      <c r="C4" s="35"/>
      <c r="D4" s="57" t="s">
        <v>614</v>
      </c>
      <c r="E4" s="61"/>
    </row>
    <row r="5" spans="1:5" x14ac:dyDescent="0.25">
      <c r="A5" s="11" t="s">
        <v>613</v>
      </c>
      <c r="B5" s="61"/>
      <c r="C5" s="61"/>
      <c r="D5" s="61"/>
      <c r="E5" s="61"/>
    </row>
    <row r="6" spans="1:5" ht="33.75" customHeight="1" x14ac:dyDescent="0.25">
      <c r="A6" s="11">
        <v>10</v>
      </c>
      <c r="B6" s="9" t="s">
        <v>550</v>
      </c>
      <c r="C6" s="9" t="s">
        <v>551</v>
      </c>
      <c r="D6" s="9" t="str">
        <f>CONCATENATE("Highest TVOC Reading 
","(",D4,")")</f>
        <v>Highest TVOC Reading 
(ug/m3)</v>
      </c>
      <c r="E6" s="61"/>
    </row>
    <row r="7" spans="1:5" ht="15" customHeight="1" x14ac:dyDescent="0.25">
      <c r="A7" s="36"/>
      <c r="B7" s="65"/>
      <c r="C7" s="65"/>
      <c r="D7" s="102"/>
      <c r="E7" s="138"/>
    </row>
    <row r="8" spans="1:5" ht="15" customHeight="1" x14ac:dyDescent="0.25">
      <c r="A8" s="11" t="s">
        <v>552</v>
      </c>
      <c r="B8" s="63"/>
      <c r="C8" s="63"/>
      <c r="D8" s="63"/>
      <c r="E8" s="61"/>
    </row>
    <row r="9" spans="1:5" ht="15" hidden="1" customHeight="1" x14ac:dyDescent="0.25">
      <c r="A9" s="11"/>
      <c r="B9" s="63"/>
      <c r="C9" s="63"/>
      <c r="D9" s="63"/>
      <c r="E9" s="61"/>
    </row>
    <row r="10" spans="1:5" ht="61.5" customHeight="1" x14ac:dyDescent="0.25">
      <c r="A10" s="11" t="s">
        <v>552</v>
      </c>
      <c r="B10" s="63"/>
      <c r="C10" s="63"/>
      <c r="D10" s="63"/>
      <c r="E10" s="61"/>
    </row>
  </sheetData>
  <sheetProtection password="E2E7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9</xdr:row>
                    <xdr:rowOff>19050</xdr:rowOff>
                  </from>
                  <to>
                    <xdr:col>1</xdr:col>
                    <xdr:colOff>1285875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9</xdr:row>
                    <xdr:rowOff>19050</xdr:rowOff>
                  </from>
                  <to>
                    <xdr:col>2</xdr:col>
                    <xdr:colOff>1295400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9</xdr:row>
                    <xdr:rowOff>361950</xdr:rowOff>
                  </from>
                  <to>
                    <xdr:col>2</xdr:col>
                    <xdr:colOff>466725</xdr:colOff>
                    <xdr:row>9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9</xdr:row>
                    <xdr:rowOff>352425</xdr:rowOff>
                  </from>
                  <to>
                    <xdr:col>3</xdr:col>
                    <xdr:colOff>990600</xdr:colOff>
                    <xdr:row>9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22"/>
  <sheetViews>
    <sheetView showGridLines="0" zoomScale="90" zoomScaleNormal="90" workbookViewId="0">
      <pane ySplit="2" topLeftCell="A3" activePane="bottomLeft" state="frozen"/>
      <selection pane="bottomLeft" activeCell="F24" sqref="F24"/>
    </sheetView>
  </sheetViews>
  <sheetFormatPr defaultColWidth="14.7109375" defaultRowHeight="12.75" x14ac:dyDescent="0.25"/>
  <cols>
    <col min="1" max="1" width="4.28515625" style="69" customWidth="1"/>
    <col min="2" max="2" width="18.7109375" style="70" customWidth="1"/>
    <col min="3" max="16384" width="14.7109375" style="70"/>
  </cols>
  <sheetData>
    <row r="1" spans="1:8" ht="36" customHeight="1" x14ac:dyDescent="0.25">
      <c r="A1" s="69" t="s">
        <v>613</v>
      </c>
      <c r="B1" s="71" t="s">
        <v>609</v>
      </c>
    </row>
    <row r="2" spans="1:8" ht="33.75" customHeight="1" x14ac:dyDescent="0.25">
      <c r="A2" s="69" t="s">
        <v>613</v>
      </c>
      <c r="B2" s="72" t="s">
        <v>588</v>
      </c>
      <c r="C2" s="73" t="s">
        <v>589</v>
      </c>
      <c r="D2" s="74" t="s">
        <v>590</v>
      </c>
      <c r="E2" s="75" t="s">
        <v>605</v>
      </c>
      <c r="F2" s="139" t="s">
        <v>606</v>
      </c>
      <c r="G2" s="76" t="s">
        <v>610</v>
      </c>
    </row>
    <row r="3" spans="1:8" x14ac:dyDescent="0.25">
      <c r="B3" s="141"/>
      <c r="C3" s="142"/>
      <c r="D3" s="171"/>
      <c r="E3" s="180"/>
      <c r="F3" s="181"/>
      <c r="G3" s="172"/>
    </row>
    <row r="4" spans="1:8" x14ac:dyDescent="0.25">
      <c r="B4" s="141"/>
      <c r="C4" s="142"/>
      <c r="D4" s="171"/>
      <c r="E4" s="180"/>
      <c r="F4" s="181"/>
      <c r="G4" s="172"/>
      <c r="H4" s="77"/>
    </row>
    <row r="5" spans="1:8" ht="39" customHeight="1" x14ac:dyDescent="0.25"/>
    <row r="6" spans="1:8" s="91" customFormat="1" ht="51" customHeight="1" x14ac:dyDescent="0.2">
      <c r="A6" s="69" t="s">
        <v>600</v>
      </c>
      <c r="B6" s="71" t="s">
        <v>593</v>
      </c>
      <c r="G6" s="92"/>
      <c r="H6" s="101">
        <f>IF(H8="",1,0)</f>
        <v>1</v>
      </c>
    </row>
    <row r="7" spans="1:8" ht="21" customHeight="1" x14ac:dyDescent="0.25">
      <c r="A7" s="69" t="s">
        <v>613</v>
      </c>
      <c r="B7" s="199" t="s">
        <v>588</v>
      </c>
      <c r="C7" s="93"/>
      <c r="D7" s="93"/>
      <c r="E7" s="93"/>
      <c r="F7" s="93"/>
      <c r="G7" s="94"/>
      <c r="H7" s="78" t="s">
        <v>590</v>
      </c>
    </row>
    <row r="8" spans="1:8" ht="15" customHeight="1" x14ac:dyDescent="0.25">
      <c r="A8" s="69" t="s">
        <v>613</v>
      </c>
      <c r="B8" s="200"/>
      <c r="C8" s="95"/>
      <c r="D8" s="95"/>
      <c r="E8" s="95"/>
      <c r="F8" s="95"/>
      <c r="G8" s="96"/>
      <c r="H8" s="79" t="str">
        <f t="array" ref="H8">IFERROR(INDEX($D$3:$D$5, MATCH(0,IF(ISBLANK($D$3:$D$5),1,COUNTIF($G8:G8, $D$3:$D$5)), 0)),"")</f>
        <v/>
      </c>
    </row>
    <row r="9" spans="1:8" ht="27.75" customHeight="1" x14ac:dyDescent="0.25">
      <c r="A9" s="69" t="s">
        <v>613</v>
      </c>
      <c r="B9" s="201"/>
      <c r="C9" s="97"/>
      <c r="D9" s="97"/>
      <c r="E9" s="97"/>
      <c r="F9" s="97"/>
      <c r="G9" s="98"/>
      <c r="H9" s="140" t="s">
        <v>607</v>
      </c>
    </row>
    <row r="10" spans="1:8" ht="15" customHeight="1" x14ac:dyDescent="0.25">
      <c r="A10" s="69">
        <f>IF(B10="",1,0)</f>
        <v>1</v>
      </c>
      <c r="B10" s="80" t="str">
        <f t="array" ref="B10">IFERROR(INDEX($B$3:$B$5, MATCH(0,IF(ISBLANK($B$3:$B$5),1,COUNTIF($B$9:B9, $B$3:$B$5)), 0)),"")</f>
        <v/>
      </c>
      <c r="C10" s="81"/>
      <c r="D10" s="81"/>
      <c r="E10" s="81"/>
      <c r="F10" s="81"/>
      <c r="G10" s="90"/>
      <c r="H10" s="176" t="str">
        <f t="array" ref="H10">IFERROR(AVERAGE(IF($B$3:$B$5=$B10,IF($D$3:$D$5=H$8,IF($G$3:$G$5&lt;&gt;"",$G$3:$G$5)))),"")</f>
        <v/>
      </c>
    </row>
    <row r="11" spans="1:8" ht="15" customHeight="1" x14ac:dyDescent="0.25">
      <c r="A11" s="69">
        <f t="shared" ref="A11" si="0">IF(B11="",1,0)</f>
        <v>1</v>
      </c>
      <c r="B11" s="80" t="str">
        <f t="array" ref="B11">IFERROR(INDEX($B$3:$B$5, MATCH(0,IF(ISBLANK($B$3:$B$5),1,COUNTIF($B$9:B10, $B$3:$B$5)), 0)),"")</f>
        <v/>
      </c>
      <c r="C11" s="81"/>
      <c r="D11" s="81"/>
      <c r="E11" s="81"/>
      <c r="F11" s="81"/>
      <c r="G11" s="90"/>
      <c r="H11" s="176" t="str">
        <f t="array" ref="H11">IFERROR(AVERAGE(IF($B$3:$B$5=$B11,IF($D$3:$D$5=H$8,IF($G$3:$G$5&lt;&gt;"",$G$3:$G$5)))),"")</f>
        <v/>
      </c>
    </row>
    <row r="12" spans="1:8" ht="9" customHeight="1" x14ac:dyDescent="0.25">
      <c r="H12" s="177"/>
    </row>
    <row r="13" spans="1:8" ht="9" customHeight="1" x14ac:dyDescent="0.25">
      <c r="A13" s="69" t="s">
        <v>552</v>
      </c>
      <c r="H13" s="177"/>
    </row>
    <row r="14" spans="1:8" ht="15" hidden="1" customHeight="1" x14ac:dyDescent="0.25">
      <c r="H14" s="178" t="str">
        <f>H8</f>
        <v/>
      </c>
    </row>
    <row r="15" spans="1:8" ht="20.25" customHeight="1" x14ac:dyDescent="0.25">
      <c r="B15" s="87" t="s">
        <v>608</v>
      </c>
      <c r="C15" s="88"/>
      <c r="D15" s="88"/>
      <c r="E15" s="88"/>
      <c r="F15" s="88"/>
      <c r="G15" s="89"/>
      <c r="H15" s="179">
        <f>IFERROR(MAX(H10:H13),0)</f>
        <v>0</v>
      </c>
    </row>
    <row r="16" spans="1:8" ht="24.75" customHeight="1" x14ac:dyDescent="0.25"/>
    <row r="17" spans="1:6" ht="28.5" hidden="1" customHeight="1" x14ac:dyDescent="0.25">
      <c r="A17" s="69">
        <v>10</v>
      </c>
      <c r="B17" s="82" t="s">
        <v>596</v>
      </c>
      <c r="C17" s="82" t="s">
        <v>597</v>
      </c>
      <c r="D17" s="82" t="s">
        <v>603</v>
      </c>
      <c r="E17" s="99"/>
      <c r="F17" s="99"/>
    </row>
    <row r="18" spans="1:6" ht="15" hidden="1" customHeight="1" x14ac:dyDescent="0.25">
      <c r="A18" s="68">
        <f>IFERROR(IF(D18="",1,0),1)</f>
        <v>0</v>
      </c>
      <c r="B18" s="84" t="str">
        <f>INDEX(DatesVOC,1,E18)</f>
        <v/>
      </c>
      <c r="C18" s="84" t="str">
        <f t="shared" ref="C18" si="1">B18</f>
        <v/>
      </c>
      <c r="D18" s="85">
        <f t="array" ref="D18">HLOOKUP(B18,ReadingTableVOC,2,FALSE)</f>
        <v>0</v>
      </c>
      <c r="E18" s="100">
        <f>IF(E17="",8,E17+1)</f>
        <v>8</v>
      </c>
      <c r="F18" s="100"/>
    </row>
    <row r="19" spans="1:6" hidden="1" x14ac:dyDescent="0.25"/>
    <row r="20" spans="1:6" ht="24" hidden="1" x14ac:dyDescent="0.25">
      <c r="B20" s="83" t="s">
        <v>592</v>
      </c>
      <c r="C20" s="83" t="s">
        <v>599</v>
      </c>
    </row>
    <row r="21" spans="1:6" hidden="1" x14ac:dyDescent="0.25">
      <c r="B21" s="86">
        <f t="array" ref="B21">SUM(IF($D$3:$D$5&lt;&gt;"",1/COUNTIF($D$3:$D$5, $D$3:$D$5), 0))</f>
        <v>0</v>
      </c>
      <c r="C21" s="86">
        <f t="array" ref="C21">SUM(IF($B$3:$B$5&lt;&gt;"",1/COUNTIF($B$3:$B$5, $B$3:$B$5), 0))</f>
        <v>0</v>
      </c>
    </row>
    <row r="22" spans="1:6" hidden="1" x14ac:dyDescent="0.25"/>
  </sheetData>
  <sheetProtection password="E2E7" sheet="1" objects="1" scenarios="1"/>
  <autoFilter ref="B2:G4"/>
  <mergeCells count="1">
    <mergeCell ref="B7:B9"/>
  </mergeCells>
  <dataValidations count="3">
    <dataValidation type="date" allowBlank="1" showInputMessage="1" showErrorMessage="1" error="Please enter a valid date in mm/dd/yyyy format." sqref="D3:D4">
      <formula1>1</formula1>
      <formula2>2958464</formula2>
    </dataValidation>
    <dataValidation type="time" allowBlank="1" showInputMessage="1" showErrorMessage="1" error=" Please enter a valid time  in hr:mm format." sqref="E3:E4">
      <formula1>0</formula1>
      <formula2>0.999988425925926</formula2>
    </dataValidation>
    <dataValidation type="time" allowBlank="1" showInputMessage="1" showErrorMessage="1" error="Please enter a valid time in hr:mm format." sqref="F3:F4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14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E17" sqref="E17"/>
    </sheetView>
  </sheetViews>
  <sheetFormatPr defaultRowHeight="15" x14ac:dyDescent="0.25"/>
  <cols>
    <col min="1" max="1" width="2.42578125" style="13" customWidth="1"/>
    <col min="2" max="5" width="20.7109375" style="5" customWidth="1"/>
    <col min="6" max="6" width="3.7109375" style="5" customWidth="1"/>
    <col min="7" max="10" width="9.140625" style="5" hidden="1" customWidth="1"/>
    <col min="11" max="13" width="0" style="5" hidden="1" customWidth="1"/>
    <col min="14" max="16384" width="9.140625" style="5"/>
  </cols>
  <sheetData>
    <row r="1" spans="1:9" x14ac:dyDescent="0.25">
      <c r="A1" s="11" t="s">
        <v>613</v>
      </c>
      <c r="B1" s="1"/>
      <c r="C1" s="1"/>
      <c r="D1" s="1"/>
      <c r="E1" s="1"/>
      <c r="F1" s="1"/>
    </row>
    <row r="2" spans="1:9" x14ac:dyDescent="0.25">
      <c r="A2" s="11" t="s">
        <v>613</v>
      </c>
      <c r="B2" s="194" t="s">
        <v>572</v>
      </c>
      <c r="C2" s="202"/>
      <c r="D2" s="195"/>
      <c r="E2" s="59" t="s">
        <v>582</v>
      </c>
      <c r="F2" s="1"/>
    </row>
    <row r="3" spans="1:9" ht="15" customHeight="1" x14ac:dyDescent="0.25">
      <c r="A3" s="11" t="s">
        <v>613</v>
      </c>
      <c r="B3" s="192" t="s">
        <v>573</v>
      </c>
      <c r="C3" s="203"/>
      <c r="D3" s="193"/>
      <c r="E3" s="59" t="s">
        <v>562</v>
      </c>
      <c r="F3" s="1"/>
    </row>
    <row r="4" spans="1:9" ht="14.25" customHeight="1" x14ac:dyDescent="0.25">
      <c r="A4" s="11" t="s">
        <v>613</v>
      </c>
      <c r="B4" s="33" t="s">
        <v>574</v>
      </c>
      <c r="C4" s="34"/>
      <c r="D4" s="35"/>
      <c r="E4" s="39" t="s">
        <v>567</v>
      </c>
      <c r="F4" s="1"/>
    </row>
    <row r="5" spans="1:9" x14ac:dyDescent="0.25">
      <c r="A5" s="11" t="s">
        <v>613</v>
      </c>
      <c r="B5" s="1"/>
      <c r="C5" s="1"/>
      <c r="D5" s="1"/>
      <c r="E5" s="1"/>
      <c r="F5" s="1"/>
    </row>
    <row r="6" spans="1:9" ht="25.5" x14ac:dyDescent="0.25">
      <c r="A6" s="11">
        <v>10</v>
      </c>
      <c r="B6" s="9" t="s">
        <v>550</v>
      </c>
      <c r="C6" s="9" t="s">
        <v>551</v>
      </c>
      <c r="D6" s="9" t="str">
        <f>CONCATENATE("Total Waste 
","(",E4,")")</f>
        <v>Total Waste 
(lbs)</v>
      </c>
      <c r="E6" s="9" t="str">
        <f>CONCATENATE("Diverted 
","(",E4,")")</f>
        <v>Diverted 
(lbs)</v>
      </c>
      <c r="F6" s="1"/>
    </row>
    <row r="7" spans="1:9" x14ac:dyDescent="0.25">
      <c r="A7" s="11"/>
      <c r="B7" s="65"/>
      <c r="C7" s="65"/>
      <c r="D7" s="41"/>
      <c r="E7" s="41"/>
      <c r="F7" s="1"/>
    </row>
    <row r="8" spans="1:9" x14ac:dyDescent="0.25">
      <c r="A8" s="36"/>
      <c r="B8" s="49"/>
      <c r="C8" s="49"/>
      <c r="D8" s="52"/>
      <c r="E8" s="53"/>
      <c r="F8" s="1"/>
    </row>
    <row r="9" spans="1:9" hidden="1" x14ac:dyDescent="0.25">
      <c r="A9" s="12">
        <v>0</v>
      </c>
      <c r="B9" s="51"/>
      <c r="C9" s="51"/>
      <c r="D9" s="54"/>
      <c r="E9" s="55"/>
      <c r="F9" s="1"/>
    </row>
    <row r="10" spans="1:9" ht="25.5" customHeight="1" x14ac:dyDescent="0.25">
      <c r="A10" s="11" t="s">
        <v>552</v>
      </c>
      <c r="B10" s="50"/>
      <c r="C10" s="50"/>
      <c r="D10" s="50"/>
      <c r="E10" s="56"/>
      <c r="F10" s="1"/>
    </row>
    <row r="12" spans="1:9" x14ac:dyDescent="0.25">
      <c r="I12" s="5" t="s">
        <v>567</v>
      </c>
    </row>
    <row r="13" spans="1:9" x14ac:dyDescent="0.25">
      <c r="I13" s="5" t="s">
        <v>561</v>
      </c>
    </row>
    <row r="14" spans="1:9" x14ac:dyDescent="0.25">
      <c r="I14" s="5" t="s">
        <v>546</v>
      </c>
    </row>
  </sheetData>
  <sheetProtection password="E2E7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54789</formula2>
    </dataValidation>
    <dataValidation type="decimal" allowBlank="1" showInputMessage="1" showErrorMessage="1" error="Please enter a valid reading." sqref="D7:E7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59</vt:i4>
      </vt:variant>
    </vt:vector>
  </HeadingPairs>
  <TitlesOfParts>
    <vt:vector size="69" baseType="lpstr">
      <vt:lpstr>Setup</vt:lpstr>
      <vt:lpstr>base_w</vt:lpstr>
      <vt:lpstr>base_e</vt:lpstr>
      <vt:lpstr>base_f</vt:lpstr>
      <vt:lpstr>Default CO2 Meter</vt:lpstr>
      <vt:lpstr>CO2 Raw Data</vt:lpstr>
      <vt:lpstr>Default VOC Meter</vt:lpstr>
      <vt:lpstr>TVOC Raw Data</vt:lpstr>
      <vt:lpstr>Waste Stream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elecName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water_meter_type</vt:lpstr>
      <vt:lpstr>water_type</vt:lpstr>
      <vt:lpstr>water_units</vt:lpstr>
      <vt:lpstr>WaterDrp</vt:lpstr>
      <vt:lpstr>waterType</vt:lpstr>
      <vt:lpstr>waterUnits</vt:lpstr>
      <vt:lpstr>watUn</vt:lpstr>
      <vt:lpstr>watUni</vt:lpstr>
      <vt:lpstr>waUn</vt:lpstr>
      <vt:lpstr>waunit</vt:lpstr>
      <vt:lpstr>Wood</vt:lpstr>
      <vt:lpstr>woods</vt:lpstr>
      <vt:lpstr>woodunit</vt:lpstr>
      <vt:lpstr>zep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Suresh</cp:lastModifiedBy>
  <dcterms:created xsi:type="dcterms:W3CDTF">2014-11-12T06:32:08Z</dcterms:created>
  <dcterms:modified xsi:type="dcterms:W3CDTF">2015-11-06T06:58:25Z</dcterms:modified>
</cp:coreProperties>
</file>